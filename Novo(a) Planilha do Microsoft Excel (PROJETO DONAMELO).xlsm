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eLivro"/>
  <mc:AlternateContent xmlns:mc="http://schemas.openxmlformats.org/markup-compatibility/2006">
    <mc:Choice Requires="x15">
      <x15ac:absPath xmlns:x15ac="http://schemas.microsoft.com/office/spreadsheetml/2010/11/ac" url="C:\Users\wilia\Desktop\Sistema VBA DonaMelo\"/>
    </mc:Choice>
  </mc:AlternateContent>
  <xr:revisionPtr revIDLastSave="0" documentId="13_ncr:1_{50744C8E-2D0A-4074-AF81-EB995E2428DE}" xr6:coauthVersionLast="47" xr6:coauthVersionMax="47" xr10:uidLastSave="{00000000-0000-0000-0000-000000000000}"/>
  <bookViews>
    <workbookView xWindow="-120" yWindow="-120" windowWidth="21840" windowHeight="13020" tabRatio="664" firstSheet="2" activeTab="2" xr2:uid="{00000000-000D-0000-FFFF-FFFF00000000}"/>
  </bookViews>
  <sheets>
    <sheet name="PRODUTOS" sheetId="1" r:id="rId1"/>
    <sheet name="HISTORICO_CADASTRO_PRODUTOS" sheetId="11" r:id="rId2"/>
    <sheet name="MOVIMENTACAO_ESTOQUE" sheetId="9" r:id="rId3"/>
    <sheet name="REVENDAS" sheetId="2" r:id="rId4"/>
    <sheet name="ROMANEIOS_ITENS" sheetId="4" r:id="rId5"/>
    <sheet name="CONFERENCIA" sheetId="5" r:id="rId6"/>
    <sheet name="FINANCEIRO" sheetId="6" r:id="rId7"/>
    <sheet name="IMP_ROMANEIOS" sheetId="7" r:id="rId8"/>
    <sheet name="PARAMETROS" sheetId="10" r:id="rId9"/>
    <sheet name="USUARIOS" sheetId="12" r:id="rId10"/>
  </sheets>
  <definedNames>
    <definedName name="cod_revenda">IMP_ROMANEIOS!$C$5</definedName>
    <definedName name="COMISSÃO">PARAMETROS!$B:$B</definedName>
    <definedName name="data">IMP_ROMANEIOS!$J$4</definedName>
    <definedName name="DESTINO">PARAMETROS!$G:$G</definedName>
    <definedName name="ID_ROMANEIO">IMP_ROMANEIOS!$C$4</definedName>
    <definedName name="MOTIVO">PARAMETROS!$E:$E</definedName>
    <definedName name="nome_revenda">IMP_ROMANEIOS!$D$5:$F$5</definedName>
    <definedName name="ORIGEM">PARAMETROS!$F:$F</definedName>
    <definedName name="preco_venda_romaneio_itens">ROMANEIOS_ITENS!$I:$I</definedName>
    <definedName name="qtd_romaneio_itens">ROMANEIOS_ITENS!$H:$H</definedName>
    <definedName name="TIPO_DE_MOVIMENTO">PARAMETROS!$D:$D</definedName>
    <definedName name="total_romaneios_itens">ROMANEIOS_ITENS!$J:$J</definedName>
    <definedName name="USUARIO">USUARIOS!$A:$A</definedName>
    <definedName name="VALOR_DE_VENDA">PARAMETROS!$A:$A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" i="4" l="1"/>
  <c r="V3" i="1"/>
  <c r="N2" i="1"/>
  <c r="V2" i="1"/>
  <c r="O2" i="1"/>
  <c r="J2" i="1"/>
  <c r="Q2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P2" i="1" l="1"/>
  <c r="K3" i="5"/>
  <c r="K2" i="5"/>
  <c r="V507" i="1"/>
  <c r="Q507" i="1"/>
  <c r="P507" i="1"/>
  <c r="O507" i="1"/>
  <c r="N507" i="1"/>
  <c r="I507" i="1"/>
  <c r="G507" i="1"/>
  <c r="V506" i="1"/>
  <c r="Q506" i="1"/>
  <c r="P506" i="1"/>
  <c r="O506" i="1"/>
  <c r="N506" i="1"/>
  <c r="I506" i="1"/>
  <c r="G506" i="1"/>
  <c r="V505" i="1"/>
  <c r="Q505" i="1"/>
  <c r="O505" i="1"/>
  <c r="N505" i="1"/>
  <c r="P505" i="1" s="1"/>
  <c r="I505" i="1"/>
  <c r="G505" i="1"/>
  <c r="V504" i="1"/>
  <c r="Q504" i="1"/>
  <c r="O504" i="1"/>
  <c r="N504" i="1"/>
  <c r="P504" i="1" s="1"/>
  <c r="I504" i="1"/>
  <c r="G504" i="1"/>
  <c r="V503" i="1"/>
  <c r="Q503" i="1"/>
  <c r="P503" i="1"/>
  <c r="O503" i="1"/>
  <c r="N503" i="1"/>
  <c r="I503" i="1"/>
  <c r="G503" i="1"/>
  <c r="V502" i="1"/>
  <c r="Q502" i="1"/>
  <c r="P502" i="1"/>
  <c r="O502" i="1"/>
  <c r="N502" i="1"/>
  <c r="I502" i="1"/>
  <c r="G502" i="1"/>
  <c r="V501" i="1"/>
  <c r="Q501" i="1"/>
  <c r="O501" i="1"/>
  <c r="N501" i="1"/>
  <c r="P501" i="1" s="1"/>
  <c r="I501" i="1"/>
  <c r="G501" i="1"/>
  <c r="V500" i="1"/>
  <c r="Q500" i="1"/>
  <c r="O500" i="1"/>
  <c r="N500" i="1"/>
  <c r="P500" i="1" s="1"/>
  <c r="I500" i="1"/>
  <c r="G500" i="1"/>
  <c r="V499" i="1"/>
  <c r="Q499" i="1"/>
  <c r="O499" i="1"/>
  <c r="N499" i="1"/>
  <c r="P499" i="1" s="1"/>
  <c r="I499" i="1"/>
  <c r="G499" i="1"/>
  <c r="V498" i="1"/>
  <c r="Q498" i="1"/>
  <c r="P498" i="1"/>
  <c r="O498" i="1"/>
  <c r="N498" i="1"/>
  <c r="I498" i="1"/>
  <c r="G498" i="1"/>
  <c r="V497" i="1"/>
  <c r="Q497" i="1"/>
  <c r="O497" i="1"/>
  <c r="N497" i="1"/>
  <c r="P497" i="1" s="1"/>
  <c r="I497" i="1"/>
  <c r="G497" i="1"/>
  <c r="V496" i="1"/>
  <c r="Q496" i="1"/>
  <c r="P496" i="1"/>
  <c r="O496" i="1"/>
  <c r="N496" i="1"/>
  <c r="I496" i="1"/>
  <c r="G496" i="1"/>
  <c r="V495" i="1"/>
  <c r="Q495" i="1"/>
  <c r="O495" i="1"/>
  <c r="N495" i="1"/>
  <c r="P495" i="1" s="1"/>
  <c r="I495" i="1"/>
  <c r="G495" i="1"/>
  <c r="V494" i="1"/>
  <c r="Q494" i="1"/>
  <c r="P494" i="1"/>
  <c r="O494" i="1"/>
  <c r="N494" i="1"/>
  <c r="I494" i="1"/>
  <c r="G494" i="1"/>
  <c r="V493" i="1"/>
  <c r="Q493" i="1"/>
  <c r="P493" i="1"/>
  <c r="O493" i="1"/>
  <c r="N493" i="1"/>
  <c r="I493" i="1"/>
  <c r="G493" i="1"/>
  <c r="V492" i="1"/>
  <c r="Q492" i="1"/>
  <c r="O492" i="1"/>
  <c r="N492" i="1"/>
  <c r="P492" i="1" s="1"/>
  <c r="I492" i="1"/>
  <c r="G492" i="1"/>
  <c r="V491" i="1"/>
  <c r="Q491" i="1"/>
  <c r="P491" i="1"/>
  <c r="O491" i="1"/>
  <c r="N491" i="1"/>
  <c r="I491" i="1"/>
  <c r="G491" i="1"/>
  <c r="V490" i="1"/>
  <c r="Q490" i="1"/>
  <c r="O490" i="1"/>
  <c r="N490" i="1"/>
  <c r="P490" i="1" s="1"/>
  <c r="I490" i="1"/>
  <c r="G490" i="1"/>
  <c r="V489" i="1"/>
  <c r="Q489" i="1"/>
  <c r="O489" i="1"/>
  <c r="N489" i="1"/>
  <c r="P489" i="1" s="1"/>
  <c r="I489" i="1"/>
  <c r="G489" i="1"/>
  <c r="V488" i="1"/>
  <c r="Q488" i="1"/>
  <c r="P488" i="1"/>
  <c r="O488" i="1"/>
  <c r="N488" i="1"/>
  <c r="I488" i="1"/>
  <c r="G488" i="1"/>
  <c r="V487" i="1"/>
  <c r="Q487" i="1"/>
  <c r="O487" i="1"/>
  <c r="N487" i="1"/>
  <c r="P487" i="1" s="1"/>
  <c r="I487" i="1"/>
  <c r="G487" i="1"/>
  <c r="V486" i="1"/>
  <c r="Q486" i="1"/>
  <c r="O486" i="1"/>
  <c r="N486" i="1"/>
  <c r="P486" i="1" s="1"/>
  <c r="I486" i="1"/>
  <c r="G486" i="1"/>
  <c r="V485" i="1"/>
  <c r="Q485" i="1"/>
  <c r="O485" i="1"/>
  <c r="N485" i="1"/>
  <c r="P485" i="1" s="1"/>
  <c r="I485" i="1"/>
  <c r="G485" i="1"/>
  <c r="V484" i="1"/>
  <c r="Q484" i="1"/>
  <c r="P484" i="1"/>
  <c r="O484" i="1"/>
  <c r="N484" i="1"/>
  <c r="I484" i="1"/>
  <c r="G484" i="1"/>
  <c r="V483" i="1"/>
  <c r="Q483" i="1"/>
  <c r="O483" i="1"/>
  <c r="N483" i="1"/>
  <c r="P483" i="1" s="1"/>
  <c r="I483" i="1"/>
  <c r="G483" i="1"/>
  <c r="V482" i="1"/>
  <c r="Q482" i="1"/>
  <c r="P482" i="1"/>
  <c r="O482" i="1"/>
  <c r="N482" i="1"/>
  <c r="I482" i="1"/>
  <c r="G482" i="1"/>
  <c r="V481" i="1"/>
  <c r="Q481" i="1"/>
  <c r="P481" i="1"/>
  <c r="O481" i="1"/>
  <c r="N481" i="1"/>
  <c r="I481" i="1"/>
  <c r="G481" i="1"/>
  <c r="V480" i="1"/>
  <c r="Q480" i="1"/>
  <c r="O480" i="1"/>
  <c r="N480" i="1"/>
  <c r="P480" i="1" s="1"/>
  <c r="I480" i="1"/>
  <c r="G480" i="1"/>
  <c r="V479" i="1"/>
  <c r="Q479" i="1"/>
  <c r="P479" i="1"/>
  <c r="O479" i="1"/>
  <c r="N479" i="1"/>
  <c r="I479" i="1"/>
  <c r="G479" i="1"/>
  <c r="V478" i="1"/>
  <c r="Q478" i="1"/>
  <c r="O478" i="1"/>
  <c r="N478" i="1"/>
  <c r="P478" i="1" s="1"/>
  <c r="I478" i="1"/>
  <c r="G478" i="1"/>
  <c r="V477" i="1"/>
  <c r="Q477" i="1"/>
  <c r="O477" i="1"/>
  <c r="N477" i="1"/>
  <c r="P477" i="1" s="1"/>
  <c r="I477" i="1"/>
  <c r="G477" i="1"/>
  <c r="V476" i="1"/>
  <c r="Q476" i="1"/>
  <c r="P476" i="1"/>
  <c r="O476" i="1"/>
  <c r="N476" i="1"/>
  <c r="I476" i="1"/>
  <c r="G476" i="1"/>
  <c r="V475" i="1"/>
  <c r="Q475" i="1"/>
  <c r="O475" i="1"/>
  <c r="N475" i="1"/>
  <c r="P475" i="1" s="1"/>
  <c r="I475" i="1"/>
  <c r="G475" i="1"/>
  <c r="V474" i="1"/>
  <c r="Q474" i="1"/>
  <c r="O474" i="1"/>
  <c r="N474" i="1"/>
  <c r="P474" i="1" s="1"/>
  <c r="I474" i="1"/>
  <c r="G474" i="1"/>
  <c r="V473" i="1"/>
  <c r="Q473" i="1"/>
  <c r="O473" i="1"/>
  <c r="N473" i="1"/>
  <c r="P473" i="1" s="1"/>
  <c r="I473" i="1"/>
  <c r="G473" i="1"/>
  <c r="V472" i="1"/>
  <c r="Q472" i="1"/>
  <c r="P472" i="1"/>
  <c r="O472" i="1"/>
  <c r="N472" i="1"/>
  <c r="I472" i="1"/>
  <c r="G472" i="1"/>
  <c r="V471" i="1"/>
  <c r="Q471" i="1"/>
  <c r="P471" i="1"/>
  <c r="O471" i="1"/>
  <c r="N471" i="1"/>
  <c r="I471" i="1"/>
  <c r="G471" i="1"/>
  <c r="V470" i="1"/>
  <c r="Q470" i="1"/>
  <c r="P470" i="1"/>
  <c r="O470" i="1"/>
  <c r="N470" i="1"/>
  <c r="I470" i="1"/>
  <c r="G470" i="1"/>
  <c r="V469" i="1"/>
  <c r="Q469" i="1"/>
  <c r="P469" i="1"/>
  <c r="O469" i="1"/>
  <c r="N469" i="1"/>
  <c r="I469" i="1"/>
  <c r="G469" i="1"/>
  <c r="V468" i="1"/>
  <c r="Q468" i="1"/>
  <c r="O468" i="1"/>
  <c r="N468" i="1"/>
  <c r="P468" i="1" s="1"/>
  <c r="I468" i="1"/>
  <c r="G468" i="1"/>
  <c r="V467" i="1"/>
  <c r="Q467" i="1"/>
  <c r="P467" i="1"/>
  <c r="O467" i="1"/>
  <c r="N467" i="1"/>
  <c r="I467" i="1"/>
  <c r="G467" i="1"/>
  <c r="V466" i="1"/>
  <c r="Q466" i="1"/>
  <c r="O466" i="1"/>
  <c r="N466" i="1"/>
  <c r="P466" i="1" s="1"/>
  <c r="I466" i="1"/>
  <c r="G466" i="1"/>
  <c r="V465" i="1"/>
  <c r="Q465" i="1"/>
  <c r="O465" i="1"/>
  <c r="N465" i="1"/>
  <c r="P465" i="1" s="1"/>
  <c r="I465" i="1"/>
  <c r="G465" i="1"/>
  <c r="V464" i="1"/>
  <c r="Q464" i="1"/>
  <c r="P464" i="1"/>
  <c r="O464" i="1"/>
  <c r="N464" i="1"/>
  <c r="I464" i="1"/>
  <c r="G464" i="1"/>
  <c r="V463" i="1"/>
  <c r="Q463" i="1"/>
  <c r="O463" i="1"/>
  <c r="N463" i="1"/>
  <c r="P463" i="1" s="1"/>
  <c r="I463" i="1"/>
  <c r="G463" i="1"/>
  <c r="V462" i="1"/>
  <c r="Q462" i="1"/>
  <c r="O462" i="1"/>
  <c r="N462" i="1"/>
  <c r="P462" i="1" s="1"/>
  <c r="I462" i="1"/>
  <c r="G462" i="1"/>
  <c r="V461" i="1"/>
  <c r="Q461" i="1"/>
  <c r="O461" i="1"/>
  <c r="N461" i="1"/>
  <c r="P461" i="1" s="1"/>
  <c r="I461" i="1"/>
  <c r="G461" i="1"/>
  <c r="V460" i="1"/>
  <c r="Q460" i="1"/>
  <c r="P460" i="1"/>
  <c r="O460" i="1"/>
  <c r="N460" i="1"/>
  <c r="I460" i="1"/>
  <c r="G460" i="1"/>
  <c r="V459" i="1"/>
  <c r="Q459" i="1"/>
  <c r="O459" i="1"/>
  <c r="N459" i="1"/>
  <c r="P459" i="1" s="1"/>
  <c r="I459" i="1"/>
  <c r="G459" i="1"/>
  <c r="V458" i="1"/>
  <c r="Q458" i="1"/>
  <c r="P458" i="1"/>
  <c r="O458" i="1"/>
  <c r="N458" i="1"/>
  <c r="I458" i="1"/>
  <c r="G458" i="1"/>
  <c r="V457" i="1"/>
  <c r="Q457" i="1"/>
  <c r="P457" i="1"/>
  <c r="O457" i="1"/>
  <c r="N457" i="1"/>
  <c r="I457" i="1"/>
  <c r="G457" i="1"/>
  <c r="V456" i="1"/>
  <c r="Q456" i="1"/>
  <c r="O456" i="1"/>
  <c r="N456" i="1"/>
  <c r="P456" i="1" s="1"/>
  <c r="I456" i="1"/>
  <c r="G456" i="1"/>
  <c r="V455" i="1"/>
  <c r="Q455" i="1"/>
  <c r="P455" i="1"/>
  <c r="O455" i="1"/>
  <c r="N455" i="1"/>
  <c r="I455" i="1"/>
  <c r="G455" i="1"/>
  <c r="V454" i="1"/>
  <c r="Q454" i="1"/>
  <c r="O454" i="1"/>
  <c r="N454" i="1"/>
  <c r="P454" i="1" s="1"/>
  <c r="I454" i="1"/>
  <c r="G454" i="1"/>
  <c r="V453" i="1"/>
  <c r="Q453" i="1"/>
  <c r="O453" i="1"/>
  <c r="N453" i="1"/>
  <c r="P453" i="1" s="1"/>
  <c r="I453" i="1"/>
  <c r="G453" i="1"/>
  <c r="V452" i="1"/>
  <c r="Q452" i="1"/>
  <c r="P452" i="1"/>
  <c r="O452" i="1"/>
  <c r="N452" i="1"/>
  <c r="I452" i="1"/>
  <c r="G452" i="1"/>
  <c r="V451" i="1"/>
  <c r="Q451" i="1"/>
  <c r="O451" i="1"/>
  <c r="N451" i="1"/>
  <c r="P451" i="1" s="1"/>
  <c r="I451" i="1"/>
  <c r="G451" i="1"/>
  <c r="V450" i="1"/>
  <c r="Q450" i="1"/>
  <c r="O450" i="1"/>
  <c r="N450" i="1"/>
  <c r="P450" i="1" s="1"/>
  <c r="I450" i="1"/>
  <c r="G450" i="1"/>
  <c r="V449" i="1"/>
  <c r="Q449" i="1"/>
  <c r="O449" i="1"/>
  <c r="N449" i="1"/>
  <c r="P449" i="1" s="1"/>
  <c r="I449" i="1"/>
  <c r="G449" i="1"/>
  <c r="V448" i="1"/>
  <c r="Q448" i="1"/>
  <c r="P448" i="1"/>
  <c r="O448" i="1"/>
  <c r="N448" i="1"/>
  <c r="I448" i="1"/>
  <c r="G448" i="1"/>
  <c r="V447" i="1"/>
  <c r="Q447" i="1"/>
  <c r="O447" i="1"/>
  <c r="N447" i="1"/>
  <c r="P447" i="1" s="1"/>
  <c r="I447" i="1"/>
  <c r="G447" i="1"/>
  <c r="V446" i="1"/>
  <c r="Q446" i="1"/>
  <c r="P446" i="1"/>
  <c r="O446" i="1"/>
  <c r="N446" i="1"/>
  <c r="I446" i="1"/>
  <c r="G446" i="1"/>
  <c r="V445" i="1"/>
  <c r="Q445" i="1"/>
  <c r="P445" i="1"/>
  <c r="O445" i="1"/>
  <c r="N445" i="1"/>
  <c r="I445" i="1"/>
  <c r="G445" i="1"/>
  <c r="V444" i="1"/>
  <c r="Q444" i="1"/>
  <c r="O444" i="1"/>
  <c r="N444" i="1"/>
  <c r="P444" i="1" s="1"/>
  <c r="I444" i="1"/>
  <c r="G444" i="1"/>
  <c r="V443" i="1"/>
  <c r="Q443" i="1"/>
  <c r="P443" i="1"/>
  <c r="O443" i="1"/>
  <c r="N443" i="1"/>
  <c r="I443" i="1"/>
  <c r="G443" i="1"/>
  <c r="V442" i="1"/>
  <c r="Q442" i="1"/>
  <c r="P442" i="1"/>
  <c r="O442" i="1"/>
  <c r="N442" i="1"/>
  <c r="I442" i="1"/>
  <c r="G442" i="1"/>
  <c r="V441" i="1"/>
  <c r="Q441" i="1"/>
  <c r="O441" i="1"/>
  <c r="N441" i="1"/>
  <c r="P441" i="1" s="1"/>
  <c r="I441" i="1"/>
  <c r="G441" i="1"/>
  <c r="V440" i="1"/>
  <c r="Q440" i="1"/>
  <c r="P440" i="1"/>
  <c r="O440" i="1"/>
  <c r="N440" i="1"/>
  <c r="I440" i="1"/>
  <c r="G440" i="1"/>
  <c r="V439" i="1"/>
  <c r="Q439" i="1"/>
  <c r="O439" i="1"/>
  <c r="N439" i="1"/>
  <c r="P439" i="1" s="1"/>
  <c r="I439" i="1"/>
  <c r="G439" i="1"/>
  <c r="V438" i="1"/>
  <c r="Q438" i="1"/>
  <c r="O438" i="1"/>
  <c r="N438" i="1"/>
  <c r="P438" i="1" s="1"/>
  <c r="I438" i="1"/>
  <c r="G438" i="1"/>
  <c r="V437" i="1"/>
  <c r="Q437" i="1"/>
  <c r="O437" i="1"/>
  <c r="N437" i="1"/>
  <c r="P437" i="1" s="1"/>
  <c r="I437" i="1"/>
  <c r="G437" i="1"/>
  <c r="V436" i="1"/>
  <c r="Q436" i="1"/>
  <c r="P436" i="1"/>
  <c r="O436" i="1"/>
  <c r="N436" i="1"/>
  <c r="I436" i="1"/>
  <c r="G436" i="1"/>
  <c r="V435" i="1"/>
  <c r="Q435" i="1"/>
  <c r="P435" i="1"/>
  <c r="O435" i="1"/>
  <c r="N435" i="1"/>
  <c r="I435" i="1"/>
  <c r="G435" i="1"/>
  <c r="V434" i="1"/>
  <c r="Q434" i="1"/>
  <c r="P434" i="1"/>
  <c r="O434" i="1"/>
  <c r="N434" i="1"/>
  <c r="I434" i="1"/>
  <c r="G434" i="1"/>
  <c r="V433" i="1"/>
  <c r="Q433" i="1"/>
  <c r="P433" i="1"/>
  <c r="O433" i="1"/>
  <c r="N433" i="1"/>
  <c r="I433" i="1"/>
  <c r="G433" i="1"/>
  <c r="V432" i="1"/>
  <c r="Q432" i="1"/>
  <c r="O432" i="1"/>
  <c r="N432" i="1"/>
  <c r="P432" i="1" s="1"/>
  <c r="I432" i="1"/>
  <c r="G432" i="1"/>
  <c r="V431" i="1"/>
  <c r="Q431" i="1"/>
  <c r="P431" i="1"/>
  <c r="O431" i="1"/>
  <c r="N431" i="1"/>
  <c r="I431" i="1"/>
  <c r="G431" i="1"/>
  <c r="V430" i="1"/>
  <c r="Q430" i="1"/>
  <c r="O430" i="1"/>
  <c r="N430" i="1"/>
  <c r="P430" i="1" s="1"/>
  <c r="I430" i="1"/>
  <c r="G430" i="1"/>
  <c r="V429" i="1"/>
  <c r="Q429" i="1"/>
  <c r="O429" i="1"/>
  <c r="N429" i="1"/>
  <c r="P429" i="1" s="1"/>
  <c r="I429" i="1"/>
  <c r="G429" i="1"/>
  <c r="V428" i="1"/>
  <c r="Q428" i="1"/>
  <c r="P428" i="1"/>
  <c r="O428" i="1"/>
  <c r="N428" i="1"/>
  <c r="I428" i="1"/>
  <c r="G428" i="1"/>
  <c r="V427" i="1"/>
  <c r="Q427" i="1"/>
  <c r="O427" i="1"/>
  <c r="N427" i="1"/>
  <c r="P427" i="1" s="1"/>
  <c r="I427" i="1"/>
  <c r="G427" i="1"/>
  <c r="V426" i="1"/>
  <c r="Q426" i="1"/>
  <c r="O426" i="1"/>
  <c r="N426" i="1"/>
  <c r="P426" i="1" s="1"/>
  <c r="I426" i="1"/>
  <c r="G426" i="1"/>
  <c r="V425" i="1"/>
  <c r="Q425" i="1"/>
  <c r="O425" i="1"/>
  <c r="N425" i="1"/>
  <c r="P425" i="1" s="1"/>
  <c r="I425" i="1"/>
  <c r="G425" i="1"/>
  <c r="V424" i="1"/>
  <c r="Q424" i="1"/>
  <c r="P424" i="1"/>
  <c r="O424" i="1"/>
  <c r="N424" i="1"/>
  <c r="I424" i="1"/>
  <c r="G424" i="1"/>
  <c r="V423" i="1"/>
  <c r="Q423" i="1"/>
  <c r="O423" i="1"/>
  <c r="N423" i="1"/>
  <c r="P423" i="1" s="1"/>
  <c r="I423" i="1"/>
  <c r="G423" i="1"/>
  <c r="V422" i="1"/>
  <c r="Q422" i="1"/>
  <c r="P422" i="1"/>
  <c r="O422" i="1"/>
  <c r="N422" i="1"/>
  <c r="I422" i="1"/>
  <c r="G422" i="1"/>
  <c r="V421" i="1"/>
  <c r="Q421" i="1"/>
  <c r="P421" i="1"/>
  <c r="O421" i="1"/>
  <c r="N421" i="1"/>
  <c r="I421" i="1"/>
  <c r="G421" i="1"/>
  <c r="V420" i="1"/>
  <c r="Q420" i="1"/>
  <c r="O420" i="1"/>
  <c r="N420" i="1"/>
  <c r="P420" i="1" s="1"/>
  <c r="I420" i="1"/>
  <c r="G420" i="1"/>
  <c r="V419" i="1"/>
  <c r="Q419" i="1"/>
  <c r="P419" i="1"/>
  <c r="O419" i="1"/>
  <c r="N419" i="1"/>
  <c r="I419" i="1"/>
  <c r="G419" i="1"/>
  <c r="V418" i="1"/>
  <c r="Q418" i="1"/>
  <c r="O418" i="1"/>
  <c r="N418" i="1"/>
  <c r="P418" i="1" s="1"/>
  <c r="I418" i="1"/>
  <c r="G418" i="1"/>
  <c r="V417" i="1"/>
  <c r="Q417" i="1"/>
  <c r="O417" i="1"/>
  <c r="N417" i="1"/>
  <c r="P417" i="1" s="1"/>
  <c r="I417" i="1"/>
  <c r="G417" i="1"/>
  <c r="V416" i="1"/>
  <c r="Q416" i="1"/>
  <c r="P416" i="1"/>
  <c r="O416" i="1"/>
  <c r="N416" i="1"/>
  <c r="I416" i="1"/>
  <c r="G416" i="1"/>
  <c r="V415" i="1"/>
  <c r="Q415" i="1"/>
  <c r="P415" i="1"/>
  <c r="O415" i="1"/>
  <c r="N415" i="1"/>
  <c r="I415" i="1"/>
  <c r="G415" i="1"/>
  <c r="V414" i="1"/>
  <c r="Q414" i="1"/>
  <c r="O414" i="1"/>
  <c r="N414" i="1"/>
  <c r="P414" i="1" s="1"/>
  <c r="I414" i="1"/>
  <c r="G414" i="1"/>
  <c r="V413" i="1"/>
  <c r="Q413" i="1"/>
  <c r="O413" i="1"/>
  <c r="N413" i="1"/>
  <c r="P413" i="1" s="1"/>
  <c r="I413" i="1"/>
  <c r="G413" i="1"/>
  <c r="V412" i="1"/>
  <c r="Q412" i="1"/>
  <c r="P412" i="1"/>
  <c r="O412" i="1"/>
  <c r="N412" i="1"/>
  <c r="I412" i="1"/>
  <c r="G412" i="1"/>
  <c r="V411" i="1"/>
  <c r="Q411" i="1"/>
  <c r="P411" i="1"/>
  <c r="O411" i="1"/>
  <c r="N411" i="1"/>
  <c r="I411" i="1"/>
  <c r="G411" i="1"/>
  <c r="V410" i="1"/>
  <c r="Q410" i="1"/>
  <c r="P410" i="1"/>
  <c r="O410" i="1"/>
  <c r="N410" i="1"/>
  <c r="I410" i="1"/>
  <c r="G410" i="1"/>
  <c r="V409" i="1"/>
  <c r="Q409" i="1"/>
  <c r="P409" i="1"/>
  <c r="O409" i="1"/>
  <c r="N409" i="1"/>
  <c r="I409" i="1"/>
  <c r="G409" i="1"/>
  <c r="V408" i="1"/>
  <c r="Q408" i="1"/>
  <c r="O408" i="1"/>
  <c r="N408" i="1"/>
  <c r="P408" i="1" s="1"/>
  <c r="I408" i="1"/>
  <c r="G408" i="1"/>
  <c r="V407" i="1"/>
  <c r="Q407" i="1"/>
  <c r="P407" i="1"/>
  <c r="O407" i="1"/>
  <c r="N407" i="1"/>
  <c r="I407" i="1"/>
  <c r="G407" i="1"/>
  <c r="V406" i="1"/>
  <c r="Q406" i="1"/>
  <c r="O406" i="1"/>
  <c r="N406" i="1"/>
  <c r="P406" i="1" s="1"/>
  <c r="I406" i="1"/>
  <c r="G406" i="1"/>
  <c r="V405" i="1"/>
  <c r="Q405" i="1"/>
  <c r="O405" i="1"/>
  <c r="N405" i="1"/>
  <c r="P405" i="1" s="1"/>
  <c r="I405" i="1"/>
  <c r="G405" i="1"/>
  <c r="V404" i="1"/>
  <c r="Q404" i="1"/>
  <c r="P404" i="1"/>
  <c r="O404" i="1"/>
  <c r="N404" i="1"/>
  <c r="I404" i="1"/>
  <c r="G404" i="1"/>
  <c r="V403" i="1"/>
  <c r="Q403" i="1"/>
  <c r="P403" i="1"/>
  <c r="O403" i="1"/>
  <c r="N403" i="1"/>
  <c r="I403" i="1"/>
  <c r="G403" i="1"/>
  <c r="V402" i="1"/>
  <c r="Q402" i="1"/>
  <c r="O402" i="1"/>
  <c r="N402" i="1"/>
  <c r="P402" i="1" s="1"/>
  <c r="I402" i="1"/>
  <c r="G402" i="1"/>
  <c r="V401" i="1"/>
  <c r="Q401" i="1"/>
  <c r="O401" i="1"/>
  <c r="N401" i="1"/>
  <c r="P401" i="1" s="1"/>
  <c r="I401" i="1"/>
  <c r="G401" i="1"/>
  <c r="V400" i="1"/>
  <c r="Q400" i="1"/>
  <c r="P400" i="1"/>
  <c r="O400" i="1"/>
  <c r="N400" i="1"/>
  <c r="I400" i="1"/>
  <c r="G400" i="1"/>
  <c r="V399" i="1"/>
  <c r="Q399" i="1"/>
  <c r="P399" i="1"/>
  <c r="O399" i="1"/>
  <c r="N399" i="1"/>
  <c r="I399" i="1"/>
  <c r="G399" i="1"/>
  <c r="V398" i="1"/>
  <c r="Q398" i="1"/>
  <c r="P398" i="1"/>
  <c r="O398" i="1"/>
  <c r="N398" i="1"/>
  <c r="I398" i="1"/>
  <c r="G398" i="1"/>
  <c r="V397" i="1"/>
  <c r="Q397" i="1"/>
  <c r="P397" i="1"/>
  <c r="O397" i="1"/>
  <c r="N397" i="1"/>
  <c r="I397" i="1"/>
  <c r="G397" i="1"/>
  <c r="V396" i="1"/>
  <c r="Q396" i="1"/>
  <c r="O396" i="1"/>
  <c r="N396" i="1"/>
  <c r="P396" i="1" s="1"/>
  <c r="I396" i="1"/>
  <c r="G396" i="1"/>
  <c r="V395" i="1"/>
  <c r="Q395" i="1"/>
  <c r="P395" i="1"/>
  <c r="O395" i="1"/>
  <c r="N395" i="1"/>
  <c r="I395" i="1"/>
  <c r="G395" i="1"/>
  <c r="V394" i="1"/>
  <c r="Q394" i="1"/>
  <c r="O394" i="1"/>
  <c r="N394" i="1"/>
  <c r="P394" i="1" s="1"/>
  <c r="I394" i="1"/>
  <c r="G394" i="1"/>
  <c r="V393" i="1"/>
  <c r="Q393" i="1"/>
  <c r="O393" i="1"/>
  <c r="N393" i="1"/>
  <c r="P393" i="1" s="1"/>
  <c r="I393" i="1"/>
  <c r="G393" i="1"/>
  <c r="V392" i="1"/>
  <c r="Q392" i="1"/>
  <c r="P392" i="1"/>
  <c r="O392" i="1"/>
  <c r="N392" i="1"/>
  <c r="I392" i="1"/>
  <c r="G392" i="1"/>
  <c r="V391" i="1"/>
  <c r="Q391" i="1"/>
  <c r="P391" i="1"/>
  <c r="O391" i="1"/>
  <c r="N391" i="1"/>
  <c r="I391" i="1"/>
  <c r="G391" i="1"/>
  <c r="V390" i="1"/>
  <c r="Q390" i="1"/>
  <c r="O390" i="1"/>
  <c r="N390" i="1"/>
  <c r="P390" i="1" s="1"/>
  <c r="I390" i="1"/>
  <c r="G390" i="1"/>
  <c r="V389" i="1"/>
  <c r="Q389" i="1"/>
  <c r="O389" i="1"/>
  <c r="N389" i="1"/>
  <c r="P389" i="1" s="1"/>
  <c r="I389" i="1"/>
  <c r="G389" i="1"/>
  <c r="V388" i="1"/>
  <c r="Q388" i="1"/>
  <c r="P388" i="1"/>
  <c r="O388" i="1"/>
  <c r="N388" i="1"/>
  <c r="I388" i="1"/>
  <c r="G388" i="1"/>
  <c r="V387" i="1"/>
  <c r="Q387" i="1"/>
  <c r="O387" i="1"/>
  <c r="N387" i="1"/>
  <c r="P387" i="1" s="1"/>
  <c r="I387" i="1"/>
  <c r="G387" i="1"/>
  <c r="V386" i="1"/>
  <c r="Q386" i="1"/>
  <c r="P386" i="1"/>
  <c r="O386" i="1"/>
  <c r="N386" i="1"/>
  <c r="I386" i="1"/>
  <c r="G386" i="1"/>
  <c r="V385" i="1"/>
  <c r="Q385" i="1"/>
  <c r="P385" i="1"/>
  <c r="O385" i="1"/>
  <c r="N385" i="1"/>
  <c r="I385" i="1"/>
  <c r="G385" i="1"/>
  <c r="V384" i="1"/>
  <c r="Q384" i="1"/>
  <c r="O384" i="1"/>
  <c r="N384" i="1"/>
  <c r="P384" i="1" s="1"/>
  <c r="I384" i="1"/>
  <c r="G384" i="1"/>
  <c r="V383" i="1"/>
  <c r="Q383" i="1"/>
  <c r="P383" i="1"/>
  <c r="O383" i="1"/>
  <c r="N383" i="1"/>
  <c r="I383" i="1"/>
  <c r="G383" i="1"/>
  <c r="V382" i="1"/>
  <c r="Q382" i="1"/>
  <c r="O382" i="1"/>
  <c r="N382" i="1"/>
  <c r="P382" i="1" s="1"/>
  <c r="I382" i="1"/>
  <c r="G382" i="1"/>
  <c r="V381" i="1"/>
  <c r="Q381" i="1"/>
  <c r="O381" i="1"/>
  <c r="N381" i="1"/>
  <c r="P381" i="1" s="1"/>
  <c r="I381" i="1"/>
  <c r="G381" i="1"/>
  <c r="V380" i="1"/>
  <c r="Q380" i="1"/>
  <c r="P380" i="1"/>
  <c r="O380" i="1"/>
  <c r="N380" i="1"/>
  <c r="I380" i="1"/>
  <c r="G380" i="1"/>
  <c r="V379" i="1"/>
  <c r="Q379" i="1"/>
  <c r="P379" i="1"/>
  <c r="O379" i="1"/>
  <c r="N379" i="1"/>
  <c r="I379" i="1"/>
  <c r="G379" i="1"/>
  <c r="V378" i="1"/>
  <c r="Q378" i="1"/>
  <c r="O378" i="1"/>
  <c r="N378" i="1"/>
  <c r="P378" i="1" s="1"/>
  <c r="I378" i="1"/>
  <c r="G378" i="1"/>
  <c r="V377" i="1"/>
  <c r="Q377" i="1"/>
  <c r="O377" i="1"/>
  <c r="N377" i="1"/>
  <c r="P377" i="1" s="1"/>
  <c r="I377" i="1"/>
  <c r="G377" i="1"/>
  <c r="V376" i="1"/>
  <c r="Q376" i="1"/>
  <c r="P376" i="1"/>
  <c r="O376" i="1"/>
  <c r="N376" i="1"/>
  <c r="I376" i="1"/>
  <c r="G376" i="1"/>
  <c r="V375" i="1"/>
  <c r="Q375" i="1"/>
  <c r="P375" i="1"/>
  <c r="O375" i="1"/>
  <c r="N375" i="1"/>
  <c r="I375" i="1"/>
  <c r="G375" i="1"/>
  <c r="V374" i="1"/>
  <c r="Q374" i="1"/>
  <c r="P374" i="1"/>
  <c r="O374" i="1"/>
  <c r="N374" i="1"/>
  <c r="I374" i="1"/>
  <c r="G374" i="1"/>
  <c r="V373" i="1"/>
  <c r="Q373" i="1"/>
  <c r="P373" i="1"/>
  <c r="O373" i="1"/>
  <c r="N373" i="1"/>
  <c r="I373" i="1"/>
  <c r="G373" i="1"/>
  <c r="V372" i="1"/>
  <c r="Q372" i="1"/>
  <c r="O372" i="1"/>
  <c r="N372" i="1"/>
  <c r="P372" i="1" s="1"/>
  <c r="I372" i="1"/>
  <c r="G372" i="1"/>
  <c r="V371" i="1"/>
  <c r="Q371" i="1"/>
  <c r="P371" i="1"/>
  <c r="O371" i="1"/>
  <c r="N371" i="1"/>
  <c r="I371" i="1"/>
  <c r="G371" i="1"/>
  <c r="V370" i="1"/>
  <c r="Q370" i="1"/>
  <c r="O370" i="1"/>
  <c r="N370" i="1"/>
  <c r="P370" i="1" s="1"/>
  <c r="I370" i="1"/>
  <c r="G370" i="1"/>
  <c r="V369" i="1"/>
  <c r="Q369" i="1"/>
  <c r="O369" i="1"/>
  <c r="N369" i="1"/>
  <c r="P369" i="1" s="1"/>
  <c r="I369" i="1"/>
  <c r="G369" i="1"/>
  <c r="V368" i="1"/>
  <c r="Q368" i="1"/>
  <c r="P368" i="1"/>
  <c r="O368" i="1"/>
  <c r="N368" i="1"/>
  <c r="I368" i="1"/>
  <c r="G368" i="1"/>
  <c r="V367" i="1"/>
  <c r="Q367" i="1"/>
  <c r="P367" i="1"/>
  <c r="O367" i="1"/>
  <c r="N367" i="1"/>
  <c r="I367" i="1"/>
  <c r="G367" i="1"/>
  <c r="V366" i="1"/>
  <c r="Q366" i="1"/>
  <c r="O366" i="1"/>
  <c r="N366" i="1"/>
  <c r="P366" i="1" s="1"/>
  <c r="I366" i="1"/>
  <c r="G366" i="1"/>
  <c r="V365" i="1"/>
  <c r="Q365" i="1"/>
  <c r="O365" i="1"/>
  <c r="N365" i="1"/>
  <c r="P365" i="1" s="1"/>
  <c r="I365" i="1"/>
  <c r="G365" i="1"/>
  <c r="V364" i="1"/>
  <c r="Q364" i="1"/>
  <c r="P364" i="1"/>
  <c r="O364" i="1"/>
  <c r="N364" i="1"/>
  <c r="I364" i="1"/>
  <c r="G364" i="1"/>
  <c r="V363" i="1"/>
  <c r="Q363" i="1"/>
  <c r="P363" i="1"/>
  <c r="O363" i="1"/>
  <c r="N363" i="1"/>
  <c r="I363" i="1"/>
  <c r="G363" i="1"/>
  <c r="V362" i="1"/>
  <c r="Q362" i="1"/>
  <c r="P362" i="1"/>
  <c r="O362" i="1"/>
  <c r="N362" i="1"/>
  <c r="I362" i="1"/>
  <c r="G362" i="1"/>
  <c r="V361" i="1"/>
  <c r="Q361" i="1"/>
  <c r="P361" i="1"/>
  <c r="O361" i="1"/>
  <c r="N361" i="1"/>
  <c r="I361" i="1"/>
  <c r="G361" i="1"/>
  <c r="V360" i="1"/>
  <c r="Q360" i="1"/>
  <c r="O360" i="1"/>
  <c r="N360" i="1"/>
  <c r="P360" i="1" s="1"/>
  <c r="I360" i="1"/>
  <c r="G360" i="1"/>
  <c r="V359" i="1"/>
  <c r="Q359" i="1"/>
  <c r="P359" i="1"/>
  <c r="O359" i="1"/>
  <c r="N359" i="1"/>
  <c r="I359" i="1"/>
  <c r="G359" i="1"/>
  <c r="V358" i="1"/>
  <c r="Q358" i="1"/>
  <c r="O358" i="1"/>
  <c r="N358" i="1"/>
  <c r="P358" i="1" s="1"/>
  <c r="I358" i="1"/>
  <c r="G358" i="1"/>
  <c r="V357" i="1"/>
  <c r="Q357" i="1"/>
  <c r="O357" i="1"/>
  <c r="N357" i="1"/>
  <c r="P357" i="1" s="1"/>
  <c r="I357" i="1"/>
  <c r="G357" i="1"/>
  <c r="V356" i="1"/>
  <c r="Q356" i="1"/>
  <c r="P356" i="1"/>
  <c r="O356" i="1"/>
  <c r="N356" i="1"/>
  <c r="I356" i="1"/>
  <c r="G356" i="1"/>
  <c r="V355" i="1"/>
  <c r="Q355" i="1"/>
  <c r="P355" i="1"/>
  <c r="O355" i="1"/>
  <c r="N355" i="1"/>
  <c r="I355" i="1"/>
  <c r="G355" i="1"/>
  <c r="V354" i="1"/>
  <c r="Q354" i="1"/>
  <c r="O354" i="1"/>
  <c r="N354" i="1"/>
  <c r="P354" i="1" s="1"/>
  <c r="I354" i="1"/>
  <c r="G354" i="1"/>
  <c r="V353" i="1"/>
  <c r="Q353" i="1"/>
  <c r="O353" i="1"/>
  <c r="N353" i="1"/>
  <c r="P353" i="1" s="1"/>
  <c r="I353" i="1"/>
  <c r="G353" i="1"/>
  <c r="V352" i="1"/>
  <c r="Q352" i="1"/>
  <c r="P352" i="1"/>
  <c r="O352" i="1"/>
  <c r="N352" i="1"/>
  <c r="I352" i="1"/>
  <c r="G352" i="1"/>
  <c r="V351" i="1"/>
  <c r="Q351" i="1"/>
  <c r="O351" i="1"/>
  <c r="N351" i="1"/>
  <c r="P351" i="1" s="1"/>
  <c r="I351" i="1"/>
  <c r="G351" i="1"/>
  <c r="V350" i="1"/>
  <c r="Q350" i="1"/>
  <c r="P350" i="1"/>
  <c r="O350" i="1"/>
  <c r="N350" i="1"/>
  <c r="I350" i="1"/>
  <c r="G350" i="1"/>
  <c r="V349" i="1"/>
  <c r="Q349" i="1"/>
  <c r="P349" i="1"/>
  <c r="O349" i="1"/>
  <c r="N349" i="1"/>
  <c r="I349" i="1"/>
  <c r="G349" i="1"/>
  <c r="V348" i="1"/>
  <c r="Q348" i="1"/>
  <c r="O348" i="1"/>
  <c r="N348" i="1"/>
  <c r="P348" i="1" s="1"/>
  <c r="I348" i="1"/>
  <c r="G348" i="1"/>
  <c r="V347" i="1"/>
  <c r="Q347" i="1"/>
  <c r="P347" i="1"/>
  <c r="O347" i="1"/>
  <c r="N347" i="1"/>
  <c r="I347" i="1"/>
  <c r="G347" i="1"/>
  <c r="V346" i="1"/>
  <c r="Q346" i="1"/>
  <c r="O346" i="1"/>
  <c r="N346" i="1"/>
  <c r="P346" i="1" s="1"/>
  <c r="I346" i="1"/>
  <c r="G346" i="1"/>
  <c r="V345" i="1"/>
  <c r="Q345" i="1"/>
  <c r="O345" i="1"/>
  <c r="N345" i="1"/>
  <c r="P345" i="1" s="1"/>
  <c r="I345" i="1"/>
  <c r="G345" i="1"/>
  <c r="V344" i="1"/>
  <c r="Q344" i="1"/>
  <c r="P344" i="1"/>
  <c r="O344" i="1"/>
  <c r="N344" i="1"/>
  <c r="I344" i="1"/>
  <c r="G344" i="1"/>
  <c r="V343" i="1"/>
  <c r="Q343" i="1"/>
  <c r="P343" i="1"/>
  <c r="O343" i="1"/>
  <c r="N343" i="1"/>
  <c r="I343" i="1"/>
  <c r="G343" i="1"/>
  <c r="V342" i="1"/>
  <c r="Q342" i="1"/>
  <c r="O342" i="1"/>
  <c r="N342" i="1"/>
  <c r="P342" i="1" s="1"/>
  <c r="I342" i="1"/>
  <c r="G342" i="1"/>
  <c r="V341" i="1"/>
  <c r="Q341" i="1"/>
  <c r="O341" i="1"/>
  <c r="N341" i="1"/>
  <c r="P341" i="1" s="1"/>
  <c r="I341" i="1"/>
  <c r="G341" i="1"/>
  <c r="V340" i="1"/>
  <c r="Q340" i="1"/>
  <c r="P340" i="1"/>
  <c r="O340" i="1"/>
  <c r="N340" i="1"/>
  <c r="I340" i="1"/>
  <c r="G340" i="1"/>
  <c r="V339" i="1"/>
  <c r="Q339" i="1"/>
  <c r="P339" i="1"/>
  <c r="O339" i="1"/>
  <c r="N339" i="1"/>
  <c r="I339" i="1"/>
  <c r="G339" i="1"/>
  <c r="V338" i="1"/>
  <c r="Q338" i="1"/>
  <c r="P338" i="1"/>
  <c r="O338" i="1"/>
  <c r="N338" i="1"/>
  <c r="I338" i="1"/>
  <c r="G338" i="1"/>
  <c r="V337" i="1"/>
  <c r="Q337" i="1"/>
  <c r="P337" i="1"/>
  <c r="O337" i="1"/>
  <c r="N337" i="1"/>
  <c r="I337" i="1"/>
  <c r="G337" i="1"/>
  <c r="V336" i="1"/>
  <c r="Q336" i="1"/>
  <c r="O336" i="1"/>
  <c r="N336" i="1"/>
  <c r="P336" i="1" s="1"/>
  <c r="I336" i="1"/>
  <c r="G336" i="1"/>
  <c r="V335" i="1"/>
  <c r="Q335" i="1"/>
  <c r="P335" i="1"/>
  <c r="O335" i="1"/>
  <c r="N335" i="1"/>
  <c r="I335" i="1"/>
  <c r="G335" i="1"/>
  <c r="V334" i="1"/>
  <c r="Q334" i="1"/>
  <c r="O334" i="1"/>
  <c r="N334" i="1"/>
  <c r="P334" i="1" s="1"/>
  <c r="I334" i="1"/>
  <c r="G334" i="1"/>
  <c r="V333" i="1"/>
  <c r="Q333" i="1"/>
  <c r="O333" i="1"/>
  <c r="N333" i="1"/>
  <c r="P333" i="1" s="1"/>
  <c r="I333" i="1"/>
  <c r="G333" i="1"/>
  <c r="V332" i="1"/>
  <c r="Q332" i="1"/>
  <c r="P332" i="1"/>
  <c r="O332" i="1"/>
  <c r="N332" i="1"/>
  <c r="I332" i="1"/>
  <c r="G332" i="1"/>
  <c r="V331" i="1"/>
  <c r="Q331" i="1"/>
  <c r="P331" i="1"/>
  <c r="O331" i="1"/>
  <c r="N331" i="1"/>
  <c r="I331" i="1"/>
  <c r="G331" i="1"/>
  <c r="V330" i="1"/>
  <c r="Q330" i="1"/>
  <c r="O330" i="1"/>
  <c r="N330" i="1"/>
  <c r="P330" i="1" s="1"/>
  <c r="I330" i="1"/>
  <c r="G330" i="1"/>
  <c r="V329" i="1"/>
  <c r="Q329" i="1"/>
  <c r="O329" i="1"/>
  <c r="N329" i="1"/>
  <c r="P329" i="1" s="1"/>
  <c r="I329" i="1"/>
  <c r="G329" i="1"/>
  <c r="V328" i="1"/>
  <c r="Q328" i="1"/>
  <c r="P328" i="1"/>
  <c r="O328" i="1"/>
  <c r="N328" i="1"/>
  <c r="I328" i="1"/>
  <c r="G328" i="1"/>
  <c r="V327" i="1"/>
  <c r="Q327" i="1"/>
  <c r="P327" i="1"/>
  <c r="O327" i="1"/>
  <c r="N327" i="1"/>
  <c r="I327" i="1"/>
  <c r="G327" i="1"/>
  <c r="V326" i="1"/>
  <c r="Q326" i="1"/>
  <c r="P326" i="1"/>
  <c r="O326" i="1"/>
  <c r="N326" i="1"/>
  <c r="I326" i="1"/>
  <c r="G326" i="1"/>
  <c r="V325" i="1"/>
  <c r="Q325" i="1"/>
  <c r="P325" i="1"/>
  <c r="O325" i="1"/>
  <c r="N325" i="1"/>
  <c r="I325" i="1"/>
  <c r="G325" i="1"/>
  <c r="V324" i="1"/>
  <c r="Q324" i="1"/>
  <c r="O324" i="1"/>
  <c r="N324" i="1"/>
  <c r="P324" i="1" s="1"/>
  <c r="I324" i="1"/>
  <c r="G324" i="1"/>
  <c r="V323" i="1"/>
  <c r="Q323" i="1"/>
  <c r="P323" i="1"/>
  <c r="O323" i="1"/>
  <c r="N323" i="1"/>
  <c r="I323" i="1"/>
  <c r="G323" i="1"/>
  <c r="V322" i="1"/>
  <c r="Q322" i="1"/>
  <c r="O322" i="1"/>
  <c r="N322" i="1"/>
  <c r="P322" i="1" s="1"/>
  <c r="I322" i="1"/>
  <c r="G322" i="1"/>
  <c r="V321" i="1"/>
  <c r="Q321" i="1"/>
  <c r="O321" i="1"/>
  <c r="N321" i="1"/>
  <c r="P321" i="1" s="1"/>
  <c r="I321" i="1"/>
  <c r="G321" i="1"/>
  <c r="V320" i="1"/>
  <c r="Q320" i="1"/>
  <c r="P320" i="1"/>
  <c r="O320" i="1"/>
  <c r="N320" i="1"/>
  <c r="I320" i="1"/>
  <c r="G320" i="1"/>
  <c r="V319" i="1"/>
  <c r="Q319" i="1"/>
  <c r="P319" i="1"/>
  <c r="O319" i="1"/>
  <c r="N319" i="1"/>
  <c r="I319" i="1"/>
  <c r="G319" i="1"/>
  <c r="V318" i="1"/>
  <c r="Q318" i="1"/>
  <c r="O318" i="1"/>
  <c r="N318" i="1"/>
  <c r="P318" i="1" s="1"/>
  <c r="I318" i="1"/>
  <c r="G318" i="1"/>
  <c r="V317" i="1"/>
  <c r="Q317" i="1"/>
  <c r="O317" i="1"/>
  <c r="N317" i="1"/>
  <c r="P317" i="1" s="1"/>
  <c r="I317" i="1"/>
  <c r="G317" i="1"/>
  <c r="V316" i="1"/>
  <c r="Q316" i="1"/>
  <c r="P316" i="1"/>
  <c r="O316" i="1"/>
  <c r="N316" i="1"/>
  <c r="I316" i="1"/>
  <c r="G316" i="1"/>
  <c r="V315" i="1"/>
  <c r="Q315" i="1"/>
  <c r="O315" i="1"/>
  <c r="N315" i="1"/>
  <c r="P315" i="1" s="1"/>
  <c r="I315" i="1"/>
  <c r="G315" i="1"/>
  <c r="V314" i="1"/>
  <c r="Q314" i="1"/>
  <c r="P314" i="1"/>
  <c r="O314" i="1"/>
  <c r="N314" i="1"/>
  <c r="I314" i="1"/>
  <c r="G314" i="1"/>
  <c r="V313" i="1"/>
  <c r="Q313" i="1"/>
  <c r="P313" i="1"/>
  <c r="O313" i="1"/>
  <c r="N313" i="1"/>
  <c r="I313" i="1"/>
  <c r="G313" i="1"/>
  <c r="V312" i="1"/>
  <c r="Q312" i="1"/>
  <c r="O312" i="1"/>
  <c r="N312" i="1"/>
  <c r="P312" i="1" s="1"/>
  <c r="I312" i="1"/>
  <c r="G312" i="1"/>
  <c r="V311" i="1"/>
  <c r="Q311" i="1"/>
  <c r="P311" i="1"/>
  <c r="O311" i="1"/>
  <c r="N311" i="1"/>
  <c r="I311" i="1"/>
  <c r="G311" i="1"/>
  <c r="V310" i="1"/>
  <c r="Q310" i="1"/>
  <c r="O310" i="1"/>
  <c r="N310" i="1"/>
  <c r="P310" i="1" s="1"/>
  <c r="I310" i="1"/>
  <c r="G310" i="1"/>
  <c r="V309" i="1"/>
  <c r="Q309" i="1"/>
  <c r="O309" i="1"/>
  <c r="N309" i="1"/>
  <c r="P309" i="1" s="1"/>
  <c r="I309" i="1"/>
  <c r="G309" i="1"/>
  <c r="V308" i="1"/>
  <c r="Q308" i="1"/>
  <c r="P308" i="1"/>
  <c r="O308" i="1"/>
  <c r="N308" i="1"/>
  <c r="I308" i="1"/>
  <c r="G308" i="1"/>
  <c r="V307" i="1"/>
  <c r="Q307" i="1"/>
  <c r="P307" i="1"/>
  <c r="O307" i="1"/>
  <c r="N307" i="1"/>
  <c r="I307" i="1"/>
  <c r="G307" i="1"/>
  <c r="V306" i="1"/>
  <c r="Q306" i="1"/>
  <c r="O306" i="1"/>
  <c r="N306" i="1"/>
  <c r="P306" i="1" s="1"/>
  <c r="I306" i="1"/>
  <c r="G306" i="1"/>
  <c r="V305" i="1"/>
  <c r="Q305" i="1"/>
  <c r="O305" i="1"/>
  <c r="N305" i="1"/>
  <c r="P305" i="1" s="1"/>
  <c r="I305" i="1"/>
  <c r="G305" i="1"/>
  <c r="V304" i="1"/>
  <c r="Q304" i="1"/>
  <c r="P304" i="1"/>
  <c r="O304" i="1"/>
  <c r="N304" i="1"/>
  <c r="I304" i="1"/>
  <c r="G304" i="1"/>
  <c r="V303" i="1"/>
  <c r="Q303" i="1"/>
  <c r="P303" i="1"/>
  <c r="O303" i="1"/>
  <c r="N303" i="1"/>
  <c r="I303" i="1"/>
  <c r="G303" i="1"/>
  <c r="V302" i="1"/>
  <c r="Q302" i="1"/>
  <c r="P302" i="1"/>
  <c r="O302" i="1"/>
  <c r="N302" i="1"/>
  <c r="I302" i="1"/>
  <c r="G302" i="1"/>
  <c r="V301" i="1"/>
  <c r="Q301" i="1"/>
  <c r="P301" i="1"/>
  <c r="O301" i="1"/>
  <c r="N301" i="1"/>
  <c r="I301" i="1"/>
  <c r="G301" i="1"/>
  <c r="V300" i="1"/>
  <c r="Q300" i="1"/>
  <c r="O300" i="1"/>
  <c r="N300" i="1"/>
  <c r="P300" i="1" s="1"/>
  <c r="I300" i="1"/>
  <c r="G300" i="1"/>
  <c r="V299" i="1"/>
  <c r="Q299" i="1"/>
  <c r="P299" i="1"/>
  <c r="O299" i="1"/>
  <c r="N299" i="1"/>
  <c r="I299" i="1"/>
  <c r="G299" i="1"/>
  <c r="V298" i="1"/>
  <c r="Q298" i="1"/>
  <c r="O298" i="1"/>
  <c r="N298" i="1"/>
  <c r="P298" i="1" s="1"/>
  <c r="I298" i="1"/>
  <c r="G298" i="1"/>
  <c r="V297" i="1"/>
  <c r="Q297" i="1"/>
  <c r="O297" i="1"/>
  <c r="N297" i="1"/>
  <c r="P297" i="1" s="1"/>
  <c r="I297" i="1"/>
  <c r="G297" i="1"/>
  <c r="V296" i="1"/>
  <c r="Q296" i="1"/>
  <c r="P296" i="1"/>
  <c r="O296" i="1"/>
  <c r="N296" i="1"/>
  <c r="I296" i="1"/>
  <c r="G296" i="1"/>
  <c r="V295" i="1"/>
  <c r="Q295" i="1"/>
  <c r="P295" i="1"/>
  <c r="O295" i="1"/>
  <c r="N295" i="1"/>
  <c r="I295" i="1"/>
  <c r="G295" i="1"/>
  <c r="V294" i="1"/>
  <c r="Q294" i="1"/>
  <c r="O294" i="1"/>
  <c r="N294" i="1"/>
  <c r="P294" i="1" s="1"/>
  <c r="I294" i="1"/>
  <c r="G294" i="1"/>
  <c r="V293" i="1"/>
  <c r="Q293" i="1"/>
  <c r="O293" i="1"/>
  <c r="N293" i="1"/>
  <c r="P293" i="1" s="1"/>
  <c r="I293" i="1"/>
  <c r="G293" i="1"/>
  <c r="V292" i="1"/>
  <c r="Q292" i="1"/>
  <c r="P292" i="1"/>
  <c r="O292" i="1"/>
  <c r="N292" i="1"/>
  <c r="I292" i="1"/>
  <c r="G292" i="1"/>
  <c r="V291" i="1"/>
  <c r="Q291" i="1"/>
  <c r="P291" i="1"/>
  <c r="O291" i="1"/>
  <c r="N291" i="1"/>
  <c r="I291" i="1"/>
  <c r="G291" i="1"/>
  <c r="V290" i="1"/>
  <c r="Q290" i="1"/>
  <c r="P290" i="1"/>
  <c r="O290" i="1"/>
  <c r="N290" i="1"/>
  <c r="I290" i="1"/>
  <c r="G290" i="1"/>
  <c r="V289" i="1"/>
  <c r="Q289" i="1"/>
  <c r="P289" i="1"/>
  <c r="O289" i="1"/>
  <c r="N289" i="1"/>
  <c r="I289" i="1"/>
  <c r="G289" i="1"/>
  <c r="V288" i="1"/>
  <c r="Q288" i="1"/>
  <c r="O288" i="1"/>
  <c r="N288" i="1"/>
  <c r="P288" i="1" s="1"/>
  <c r="I288" i="1"/>
  <c r="G288" i="1"/>
  <c r="V287" i="1"/>
  <c r="Q287" i="1"/>
  <c r="P287" i="1"/>
  <c r="O287" i="1"/>
  <c r="N287" i="1"/>
  <c r="I287" i="1"/>
  <c r="G287" i="1"/>
  <c r="V286" i="1"/>
  <c r="Q286" i="1"/>
  <c r="O286" i="1"/>
  <c r="N286" i="1"/>
  <c r="P286" i="1" s="1"/>
  <c r="I286" i="1"/>
  <c r="G286" i="1"/>
  <c r="V285" i="1"/>
  <c r="Q285" i="1"/>
  <c r="O285" i="1"/>
  <c r="N285" i="1"/>
  <c r="P285" i="1" s="1"/>
  <c r="I285" i="1"/>
  <c r="G285" i="1"/>
  <c r="V284" i="1"/>
  <c r="Q284" i="1"/>
  <c r="P284" i="1"/>
  <c r="O284" i="1"/>
  <c r="N284" i="1"/>
  <c r="I284" i="1"/>
  <c r="G284" i="1"/>
  <c r="V283" i="1"/>
  <c r="Q283" i="1"/>
  <c r="P283" i="1"/>
  <c r="O283" i="1"/>
  <c r="N283" i="1"/>
  <c r="I283" i="1"/>
  <c r="G283" i="1"/>
  <c r="V282" i="1"/>
  <c r="Q282" i="1"/>
  <c r="O282" i="1"/>
  <c r="N282" i="1"/>
  <c r="P282" i="1" s="1"/>
  <c r="I282" i="1"/>
  <c r="G282" i="1"/>
  <c r="V281" i="1"/>
  <c r="Q281" i="1"/>
  <c r="O281" i="1"/>
  <c r="N281" i="1"/>
  <c r="P281" i="1" s="1"/>
  <c r="I281" i="1"/>
  <c r="G281" i="1"/>
  <c r="V280" i="1"/>
  <c r="Q280" i="1"/>
  <c r="P280" i="1"/>
  <c r="O280" i="1"/>
  <c r="N280" i="1"/>
  <c r="I280" i="1"/>
  <c r="G280" i="1"/>
  <c r="V279" i="1"/>
  <c r="Q279" i="1"/>
  <c r="O279" i="1"/>
  <c r="N279" i="1"/>
  <c r="P279" i="1" s="1"/>
  <c r="I279" i="1"/>
  <c r="G279" i="1"/>
  <c r="V278" i="1"/>
  <c r="Q278" i="1"/>
  <c r="P278" i="1"/>
  <c r="O278" i="1"/>
  <c r="N278" i="1"/>
  <c r="I278" i="1"/>
  <c r="G278" i="1"/>
  <c r="V277" i="1"/>
  <c r="Q277" i="1"/>
  <c r="P277" i="1"/>
  <c r="O277" i="1"/>
  <c r="N277" i="1"/>
  <c r="I277" i="1"/>
  <c r="G277" i="1"/>
  <c r="V276" i="1"/>
  <c r="Q276" i="1"/>
  <c r="O276" i="1"/>
  <c r="N276" i="1"/>
  <c r="P276" i="1" s="1"/>
  <c r="I276" i="1"/>
  <c r="G276" i="1"/>
  <c r="V275" i="1"/>
  <c r="Q275" i="1"/>
  <c r="P275" i="1"/>
  <c r="O275" i="1"/>
  <c r="N275" i="1"/>
  <c r="I275" i="1"/>
  <c r="G275" i="1"/>
  <c r="V274" i="1"/>
  <c r="Q274" i="1"/>
  <c r="O274" i="1"/>
  <c r="N274" i="1"/>
  <c r="P274" i="1" s="1"/>
  <c r="I274" i="1"/>
  <c r="G274" i="1"/>
  <c r="V273" i="1"/>
  <c r="Q273" i="1"/>
  <c r="O273" i="1"/>
  <c r="N273" i="1"/>
  <c r="P273" i="1" s="1"/>
  <c r="I273" i="1"/>
  <c r="G273" i="1"/>
  <c r="V272" i="1"/>
  <c r="Q272" i="1"/>
  <c r="P272" i="1"/>
  <c r="O272" i="1"/>
  <c r="N272" i="1"/>
  <c r="I272" i="1"/>
  <c r="G272" i="1"/>
  <c r="V271" i="1"/>
  <c r="Q271" i="1"/>
  <c r="P271" i="1"/>
  <c r="O271" i="1"/>
  <c r="N271" i="1"/>
  <c r="I271" i="1"/>
  <c r="G271" i="1"/>
  <c r="V270" i="1"/>
  <c r="Q270" i="1"/>
  <c r="O270" i="1"/>
  <c r="N270" i="1"/>
  <c r="P270" i="1" s="1"/>
  <c r="I270" i="1"/>
  <c r="G270" i="1"/>
  <c r="V269" i="1"/>
  <c r="Q269" i="1"/>
  <c r="O269" i="1"/>
  <c r="N269" i="1"/>
  <c r="P269" i="1" s="1"/>
  <c r="I269" i="1"/>
  <c r="G269" i="1"/>
  <c r="V268" i="1"/>
  <c r="Q268" i="1"/>
  <c r="P268" i="1"/>
  <c r="O268" i="1"/>
  <c r="N268" i="1"/>
  <c r="I268" i="1"/>
  <c r="G268" i="1"/>
  <c r="V267" i="1"/>
  <c r="Q267" i="1"/>
  <c r="P267" i="1"/>
  <c r="O267" i="1"/>
  <c r="N267" i="1"/>
  <c r="I267" i="1"/>
  <c r="G267" i="1"/>
  <c r="V266" i="1"/>
  <c r="Q266" i="1"/>
  <c r="P266" i="1"/>
  <c r="O266" i="1"/>
  <c r="N266" i="1"/>
  <c r="I266" i="1"/>
  <c r="G266" i="1"/>
  <c r="V265" i="1"/>
  <c r="Q265" i="1"/>
  <c r="P265" i="1"/>
  <c r="O265" i="1"/>
  <c r="N265" i="1"/>
  <c r="I265" i="1"/>
  <c r="G265" i="1"/>
  <c r="V264" i="1"/>
  <c r="Q264" i="1"/>
  <c r="O264" i="1"/>
  <c r="N264" i="1"/>
  <c r="P264" i="1" s="1"/>
  <c r="I264" i="1"/>
  <c r="G264" i="1"/>
  <c r="V263" i="1"/>
  <c r="Q263" i="1"/>
  <c r="P263" i="1"/>
  <c r="O263" i="1"/>
  <c r="N263" i="1"/>
  <c r="I263" i="1"/>
  <c r="G263" i="1"/>
  <c r="V262" i="1"/>
  <c r="Q262" i="1"/>
  <c r="O262" i="1"/>
  <c r="N262" i="1"/>
  <c r="P262" i="1" s="1"/>
  <c r="I262" i="1"/>
  <c r="G262" i="1"/>
  <c r="V261" i="1"/>
  <c r="Q261" i="1"/>
  <c r="O261" i="1"/>
  <c r="N261" i="1"/>
  <c r="P261" i="1" s="1"/>
  <c r="I261" i="1"/>
  <c r="G261" i="1"/>
  <c r="V260" i="1"/>
  <c r="Q260" i="1"/>
  <c r="P260" i="1"/>
  <c r="O260" i="1"/>
  <c r="N260" i="1"/>
  <c r="I260" i="1"/>
  <c r="G260" i="1"/>
  <c r="V259" i="1"/>
  <c r="Q259" i="1"/>
  <c r="P259" i="1"/>
  <c r="O259" i="1"/>
  <c r="N259" i="1"/>
  <c r="I259" i="1"/>
  <c r="G259" i="1"/>
  <c r="V258" i="1"/>
  <c r="Q258" i="1"/>
  <c r="O258" i="1"/>
  <c r="N258" i="1"/>
  <c r="P258" i="1" s="1"/>
  <c r="I258" i="1"/>
  <c r="G258" i="1"/>
  <c r="V257" i="1"/>
  <c r="Q257" i="1"/>
  <c r="O257" i="1"/>
  <c r="N257" i="1"/>
  <c r="P257" i="1" s="1"/>
  <c r="I257" i="1"/>
  <c r="G257" i="1"/>
  <c r="V256" i="1"/>
  <c r="Q256" i="1"/>
  <c r="P256" i="1"/>
  <c r="O256" i="1"/>
  <c r="N256" i="1"/>
  <c r="I256" i="1"/>
  <c r="G256" i="1"/>
  <c r="V255" i="1"/>
  <c r="Q255" i="1"/>
  <c r="P255" i="1"/>
  <c r="O255" i="1"/>
  <c r="N255" i="1"/>
  <c r="I255" i="1"/>
  <c r="G255" i="1"/>
  <c r="V254" i="1"/>
  <c r="Q254" i="1"/>
  <c r="P254" i="1"/>
  <c r="O254" i="1"/>
  <c r="N254" i="1"/>
  <c r="I254" i="1"/>
  <c r="G254" i="1"/>
  <c r="V253" i="1"/>
  <c r="Q253" i="1"/>
  <c r="P253" i="1"/>
  <c r="O253" i="1"/>
  <c r="N253" i="1"/>
  <c r="I253" i="1"/>
  <c r="G253" i="1"/>
  <c r="V252" i="1"/>
  <c r="Q252" i="1"/>
  <c r="O252" i="1"/>
  <c r="N252" i="1"/>
  <c r="P252" i="1" s="1"/>
  <c r="I252" i="1"/>
  <c r="G252" i="1"/>
  <c r="V251" i="1"/>
  <c r="Q251" i="1"/>
  <c r="P251" i="1"/>
  <c r="O251" i="1"/>
  <c r="N251" i="1"/>
  <c r="I251" i="1"/>
  <c r="G251" i="1"/>
  <c r="V250" i="1"/>
  <c r="Q250" i="1"/>
  <c r="O250" i="1"/>
  <c r="N250" i="1"/>
  <c r="P250" i="1" s="1"/>
  <c r="I250" i="1"/>
  <c r="G250" i="1"/>
  <c r="V249" i="1"/>
  <c r="Q249" i="1"/>
  <c r="O249" i="1"/>
  <c r="N249" i="1"/>
  <c r="P249" i="1" s="1"/>
  <c r="I249" i="1"/>
  <c r="G249" i="1"/>
  <c r="V248" i="1"/>
  <c r="Q248" i="1"/>
  <c r="P248" i="1"/>
  <c r="O248" i="1"/>
  <c r="N248" i="1"/>
  <c r="I248" i="1"/>
  <c r="G248" i="1"/>
  <c r="V247" i="1"/>
  <c r="Q247" i="1"/>
  <c r="P247" i="1"/>
  <c r="O247" i="1"/>
  <c r="N247" i="1"/>
  <c r="I247" i="1"/>
  <c r="G247" i="1"/>
  <c r="V246" i="1"/>
  <c r="Q246" i="1"/>
  <c r="O246" i="1"/>
  <c r="N246" i="1"/>
  <c r="P246" i="1" s="1"/>
  <c r="I246" i="1"/>
  <c r="G246" i="1"/>
  <c r="V245" i="1"/>
  <c r="Q245" i="1"/>
  <c r="O245" i="1"/>
  <c r="N245" i="1"/>
  <c r="P245" i="1" s="1"/>
  <c r="I245" i="1"/>
  <c r="G245" i="1"/>
  <c r="V244" i="1"/>
  <c r="Q244" i="1"/>
  <c r="P244" i="1"/>
  <c r="O244" i="1"/>
  <c r="N244" i="1"/>
  <c r="I244" i="1"/>
  <c r="G244" i="1"/>
  <c r="V243" i="1"/>
  <c r="Q243" i="1"/>
  <c r="O243" i="1"/>
  <c r="N243" i="1"/>
  <c r="P243" i="1" s="1"/>
  <c r="I243" i="1"/>
  <c r="G243" i="1"/>
  <c r="V242" i="1"/>
  <c r="Q242" i="1"/>
  <c r="P242" i="1"/>
  <c r="O242" i="1"/>
  <c r="N242" i="1"/>
  <c r="I242" i="1"/>
  <c r="G242" i="1"/>
  <c r="V241" i="1"/>
  <c r="Q241" i="1"/>
  <c r="P241" i="1"/>
  <c r="O241" i="1"/>
  <c r="N241" i="1"/>
  <c r="I241" i="1"/>
  <c r="G241" i="1"/>
  <c r="V240" i="1"/>
  <c r="Q240" i="1"/>
  <c r="O240" i="1"/>
  <c r="N240" i="1"/>
  <c r="P240" i="1" s="1"/>
  <c r="I240" i="1"/>
  <c r="G240" i="1"/>
  <c r="V239" i="1"/>
  <c r="Q239" i="1"/>
  <c r="P239" i="1"/>
  <c r="O239" i="1"/>
  <c r="N239" i="1"/>
  <c r="I239" i="1"/>
  <c r="G239" i="1"/>
  <c r="V238" i="1"/>
  <c r="Q238" i="1"/>
  <c r="O238" i="1"/>
  <c r="N238" i="1"/>
  <c r="P238" i="1" s="1"/>
  <c r="I238" i="1"/>
  <c r="G238" i="1"/>
  <c r="V237" i="1"/>
  <c r="Q237" i="1"/>
  <c r="O237" i="1"/>
  <c r="N237" i="1"/>
  <c r="P237" i="1" s="1"/>
  <c r="I237" i="1"/>
  <c r="G237" i="1"/>
  <c r="V236" i="1"/>
  <c r="Q236" i="1"/>
  <c r="P236" i="1"/>
  <c r="O236" i="1"/>
  <c r="N236" i="1"/>
  <c r="I236" i="1"/>
  <c r="G236" i="1"/>
  <c r="V235" i="1"/>
  <c r="Q235" i="1"/>
  <c r="P235" i="1"/>
  <c r="O235" i="1"/>
  <c r="N235" i="1"/>
  <c r="I235" i="1"/>
  <c r="G235" i="1"/>
  <c r="V234" i="1"/>
  <c r="Q234" i="1"/>
  <c r="O234" i="1"/>
  <c r="N234" i="1"/>
  <c r="P234" i="1" s="1"/>
  <c r="I234" i="1"/>
  <c r="G234" i="1"/>
  <c r="V233" i="1"/>
  <c r="Q233" i="1"/>
  <c r="O233" i="1"/>
  <c r="N233" i="1"/>
  <c r="P233" i="1" s="1"/>
  <c r="I233" i="1"/>
  <c r="G233" i="1"/>
  <c r="V232" i="1"/>
  <c r="Q232" i="1"/>
  <c r="P232" i="1"/>
  <c r="O232" i="1"/>
  <c r="N232" i="1"/>
  <c r="I232" i="1"/>
  <c r="G232" i="1"/>
  <c r="V231" i="1"/>
  <c r="Q231" i="1"/>
  <c r="P231" i="1"/>
  <c r="O231" i="1"/>
  <c r="N231" i="1"/>
  <c r="I231" i="1"/>
  <c r="G231" i="1"/>
  <c r="V230" i="1"/>
  <c r="Q230" i="1"/>
  <c r="P230" i="1"/>
  <c r="O230" i="1"/>
  <c r="N230" i="1"/>
  <c r="I230" i="1"/>
  <c r="G230" i="1"/>
  <c r="V229" i="1"/>
  <c r="Q229" i="1"/>
  <c r="P229" i="1"/>
  <c r="O229" i="1"/>
  <c r="N229" i="1"/>
  <c r="I229" i="1"/>
  <c r="G229" i="1"/>
  <c r="V228" i="1"/>
  <c r="Q228" i="1"/>
  <c r="O228" i="1"/>
  <c r="N228" i="1"/>
  <c r="P228" i="1" s="1"/>
  <c r="I228" i="1"/>
  <c r="G228" i="1"/>
  <c r="V227" i="1"/>
  <c r="Q227" i="1"/>
  <c r="P227" i="1"/>
  <c r="O227" i="1"/>
  <c r="N227" i="1"/>
  <c r="I227" i="1"/>
  <c r="G227" i="1"/>
  <c r="V226" i="1"/>
  <c r="Q226" i="1"/>
  <c r="O226" i="1"/>
  <c r="N226" i="1"/>
  <c r="P226" i="1" s="1"/>
  <c r="I226" i="1"/>
  <c r="G226" i="1"/>
  <c r="V225" i="1"/>
  <c r="Q225" i="1"/>
  <c r="O225" i="1"/>
  <c r="N225" i="1"/>
  <c r="P225" i="1" s="1"/>
  <c r="I225" i="1"/>
  <c r="G225" i="1"/>
  <c r="V224" i="1"/>
  <c r="Q224" i="1"/>
  <c r="P224" i="1"/>
  <c r="O224" i="1"/>
  <c r="N224" i="1"/>
  <c r="I224" i="1"/>
  <c r="G224" i="1"/>
  <c r="V223" i="1"/>
  <c r="Q223" i="1"/>
  <c r="P223" i="1"/>
  <c r="O223" i="1"/>
  <c r="N223" i="1"/>
  <c r="I223" i="1"/>
  <c r="G223" i="1"/>
  <c r="V222" i="1"/>
  <c r="Q222" i="1"/>
  <c r="O222" i="1"/>
  <c r="N222" i="1"/>
  <c r="P222" i="1" s="1"/>
  <c r="I222" i="1"/>
  <c r="G222" i="1"/>
  <c r="V221" i="1"/>
  <c r="Q221" i="1"/>
  <c r="O221" i="1"/>
  <c r="N221" i="1"/>
  <c r="P221" i="1" s="1"/>
  <c r="I221" i="1"/>
  <c r="G221" i="1"/>
  <c r="V220" i="1"/>
  <c r="Q220" i="1"/>
  <c r="P220" i="1"/>
  <c r="O220" i="1"/>
  <c r="N220" i="1"/>
  <c r="I220" i="1"/>
  <c r="G220" i="1"/>
  <c r="V219" i="1"/>
  <c r="Q219" i="1"/>
  <c r="P219" i="1"/>
  <c r="O219" i="1"/>
  <c r="N219" i="1"/>
  <c r="I219" i="1"/>
  <c r="G219" i="1"/>
  <c r="V218" i="1"/>
  <c r="Q218" i="1"/>
  <c r="P218" i="1"/>
  <c r="O218" i="1"/>
  <c r="N218" i="1"/>
  <c r="I218" i="1"/>
  <c r="G218" i="1"/>
  <c r="V217" i="1"/>
  <c r="Q217" i="1"/>
  <c r="P217" i="1"/>
  <c r="O217" i="1"/>
  <c r="N217" i="1"/>
  <c r="I217" i="1"/>
  <c r="G217" i="1"/>
  <c r="V216" i="1"/>
  <c r="Q216" i="1"/>
  <c r="O216" i="1"/>
  <c r="N216" i="1"/>
  <c r="P216" i="1" s="1"/>
  <c r="I216" i="1"/>
  <c r="G216" i="1"/>
  <c r="V215" i="1"/>
  <c r="Q215" i="1"/>
  <c r="P215" i="1"/>
  <c r="O215" i="1"/>
  <c r="N215" i="1"/>
  <c r="I215" i="1"/>
  <c r="G215" i="1"/>
  <c r="V214" i="1"/>
  <c r="Q214" i="1"/>
  <c r="O214" i="1"/>
  <c r="N214" i="1"/>
  <c r="P214" i="1" s="1"/>
  <c r="I214" i="1"/>
  <c r="G214" i="1"/>
  <c r="V213" i="1"/>
  <c r="Q213" i="1"/>
  <c r="O213" i="1"/>
  <c r="N213" i="1"/>
  <c r="P213" i="1" s="1"/>
  <c r="I213" i="1"/>
  <c r="G213" i="1"/>
  <c r="V212" i="1"/>
  <c r="Q212" i="1"/>
  <c r="P212" i="1"/>
  <c r="O212" i="1"/>
  <c r="N212" i="1"/>
  <c r="I212" i="1"/>
  <c r="G212" i="1"/>
  <c r="V211" i="1"/>
  <c r="Q211" i="1"/>
  <c r="P211" i="1"/>
  <c r="O211" i="1"/>
  <c r="N211" i="1"/>
  <c r="I211" i="1"/>
  <c r="G211" i="1"/>
  <c r="V210" i="1"/>
  <c r="Q210" i="1"/>
  <c r="O210" i="1"/>
  <c r="N210" i="1"/>
  <c r="P210" i="1" s="1"/>
  <c r="I210" i="1"/>
  <c r="G210" i="1"/>
  <c r="V209" i="1"/>
  <c r="Q209" i="1"/>
  <c r="O209" i="1"/>
  <c r="N209" i="1"/>
  <c r="P209" i="1" s="1"/>
  <c r="I209" i="1"/>
  <c r="G209" i="1"/>
  <c r="V208" i="1"/>
  <c r="Q208" i="1"/>
  <c r="P208" i="1"/>
  <c r="O208" i="1"/>
  <c r="N208" i="1"/>
  <c r="I208" i="1"/>
  <c r="G208" i="1"/>
  <c r="V207" i="1"/>
  <c r="Q207" i="1"/>
  <c r="O207" i="1"/>
  <c r="N207" i="1"/>
  <c r="P207" i="1" s="1"/>
  <c r="I207" i="1"/>
  <c r="G207" i="1"/>
  <c r="V206" i="1"/>
  <c r="Q206" i="1"/>
  <c r="P206" i="1"/>
  <c r="O206" i="1"/>
  <c r="N206" i="1"/>
  <c r="I206" i="1"/>
  <c r="G206" i="1"/>
  <c r="V205" i="1"/>
  <c r="Q205" i="1"/>
  <c r="P205" i="1"/>
  <c r="O205" i="1"/>
  <c r="N205" i="1"/>
  <c r="I205" i="1"/>
  <c r="G205" i="1"/>
  <c r="V204" i="1"/>
  <c r="Q204" i="1"/>
  <c r="O204" i="1"/>
  <c r="N204" i="1"/>
  <c r="P204" i="1" s="1"/>
  <c r="I204" i="1"/>
  <c r="G204" i="1"/>
  <c r="V203" i="1"/>
  <c r="Q203" i="1"/>
  <c r="P203" i="1"/>
  <c r="O203" i="1"/>
  <c r="N203" i="1"/>
  <c r="I203" i="1"/>
  <c r="G203" i="1"/>
  <c r="V202" i="1"/>
  <c r="Q202" i="1"/>
  <c r="O202" i="1"/>
  <c r="N202" i="1"/>
  <c r="P202" i="1" s="1"/>
  <c r="I202" i="1"/>
  <c r="G202" i="1"/>
  <c r="V201" i="1"/>
  <c r="Q201" i="1"/>
  <c r="O201" i="1"/>
  <c r="N201" i="1"/>
  <c r="P201" i="1" s="1"/>
  <c r="I201" i="1"/>
  <c r="G201" i="1"/>
  <c r="V200" i="1"/>
  <c r="Q200" i="1"/>
  <c r="P200" i="1"/>
  <c r="O200" i="1"/>
  <c r="N200" i="1"/>
  <c r="I200" i="1"/>
  <c r="G200" i="1"/>
  <c r="V199" i="1"/>
  <c r="Q199" i="1"/>
  <c r="P199" i="1"/>
  <c r="O199" i="1"/>
  <c r="N199" i="1"/>
  <c r="I199" i="1"/>
  <c r="G199" i="1"/>
  <c r="V198" i="1"/>
  <c r="Q198" i="1"/>
  <c r="O198" i="1"/>
  <c r="N198" i="1"/>
  <c r="P198" i="1" s="1"/>
  <c r="I198" i="1"/>
  <c r="G198" i="1"/>
  <c r="V197" i="1"/>
  <c r="Q197" i="1"/>
  <c r="O197" i="1"/>
  <c r="N197" i="1"/>
  <c r="P197" i="1" s="1"/>
  <c r="I197" i="1"/>
  <c r="G197" i="1"/>
  <c r="V196" i="1"/>
  <c r="Q196" i="1"/>
  <c r="P196" i="1"/>
  <c r="O196" i="1"/>
  <c r="N196" i="1"/>
  <c r="I196" i="1"/>
  <c r="G196" i="1"/>
  <c r="V195" i="1"/>
  <c r="Q195" i="1"/>
  <c r="P195" i="1"/>
  <c r="O195" i="1"/>
  <c r="N195" i="1"/>
  <c r="I195" i="1"/>
  <c r="G195" i="1"/>
  <c r="V194" i="1"/>
  <c r="Q194" i="1"/>
  <c r="P194" i="1"/>
  <c r="O194" i="1"/>
  <c r="N194" i="1"/>
  <c r="I194" i="1"/>
  <c r="G194" i="1"/>
  <c r="V193" i="1"/>
  <c r="Q193" i="1"/>
  <c r="P193" i="1"/>
  <c r="O193" i="1"/>
  <c r="N193" i="1"/>
  <c r="I193" i="1"/>
  <c r="G193" i="1"/>
  <c r="V192" i="1"/>
  <c r="Q192" i="1"/>
  <c r="O192" i="1"/>
  <c r="N192" i="1"/>
  <c r="P192" i="1" s="1"/>
  <c r="I192" i="1"/>
  <c r="G192" i="1"/>
  <c r="V191" i="1"/>
  <c r="Q191" i="1"/>
  <c r="P191" i="1"/>
  <c r="O191" i="1"/>
  <c r="N191" i="1"/>
  <c r="I191" i="1"/>
  <c r="G191" i="1"/>
  <c r="V190" i="1"/>
  <c r="Q190" i="1"/>
  <c r="O190" i="1"/>
  <c r="N190" i="1"/>
  <c r="P190" i="1" s="1"/>
  <c r="I190" i="1"/>
  <c r="G190" i="1"/>
  <c r="V189" i="1"/>
  <c r="Q189" i="1"/>
  <c r="O189" i="1"/>
  <c r="N189" i="1"/>
  <c r="P189" i="1" s="1"/>
  <c r="I189" i="1"/>
  <c r="G189" i="1"/>
  <c r="V188" i="1"/>
  <c r="Q188" i="1"/>
  <c r="P188" i="1"/>
  <c r="O188" i="1"/>
  <c r="N188" i="1"/>
  <c r="I188" i="1"/>
  <c r="G188" i="1"/>
  <c r="V187" i="1"/>
  <c r="Q187" i="1"/>
  <c r="P187" i="1"/>
  <c r="O187" i="1"/>
  <c r="N187" i="1"/>
  <c r="I187" i="1"/>
  <c r="G187" i="1"/>
  <c r="V186" i="1"/>
  <c r="Q186" i="1"/>
  <c r="O186" i="1"/>
  <c r="N186" i="1"/>
  <c r="P186" i="1" s="1"/>
  <c r="I186" i="1"/>
  <c r="G186" i="1"/>
  <c r="V185" i="1"/>
  <c r="Q185" i="1"/>
  <c r="O185" i="1"/>
  <c r="N185" i="1"/>
  <c r="P185" i="1" s="1"/>
  <c r="I185" i="1"/>
  <c r="G185" i="1"/>
  <c r="V184" i="1"/>
  <c r="Q184" i="1"/>
  <c r="P184" i="1"/>
  <c r="O184" i="1"/>
  <c r="N184" i="1"/>
  <c r="I184" i="1"/>
  <c r="G184" i="1"/>
  <c r="V183" i="1"/>
  <c r="Q183" i="1"/>
  <c r="P183" i="1"/>
  <c r="O183" i="1"/>
  <c r="N183" i="1"/>
  <c r="I183" i="1"/>
  <c r="G183" i="1"/>
  <c r="V182" i="1"/>
  <c r="Q182" i="1"/>
  <c r="P182" i="1"/>
  <c r="O182" i="1"/>
  <c r="N182" i="1"/>
  <c r="I182" i="1"/>
  <c r="G182" i="1"/>
  <c r="V181" i="1"/>
  <c r="Q181" i="1"/>
  <c r="P181" i="1"/>
  <c r="O181" i="1"/>
  <c r="N181" i="1"/>
  <c r="I181" i="1"/>
  <c r="G181" i="1"/>
  <c r="V180" i="1"/>
  <c r="Q180" i="1"/>
  <c r="O180" i="1"/>
  <c r="N180" i="1"/>
  <c r="P180" i="1" s="1"/>
  <c r="I180" i="1"/>
  <c r="G180" i="1"/>
  <c r="V179" i="1"/>
  <c r="Q179" i="1"/>
  <c r="P179" i="1"/>
  <c r="O179" i="1"/>
  <c r="N179" i="1"/>
  <c r="I179" i="1"/>
  <c r="G179" i="1"/>
  <c r="V178" i="1"/>
  <c r="Q178" i="1"/>
  <c r="O178" i="1"/>
  <c r="N178" i="1"/>
  <c r="P178" i="1" s="1"/>
  <c r="I178" i="1"/>
  <c r="G178" i="1"/>
  <c r="V177" i="1"/>
  <c r="Q177" i="1"/>
  <c r="O177" i="1"/>
  <c r="N177" i="1"/>
  <c r="P177" i="1" s="1"/>
  <c r="I177" i="1"/>
  <c r="G177" i="1"/>
  <c r="V176" i="1"/>
  <c r="Q176" i="1"/>
  <c r="P176" i="1"/>
  <c r="O176" i="1"/>
  <c r="N176" i="1"/>
  <c r="I176" i="1"/>
  <c r="G176" i="1"/>
  <c r="V175" i="1"/>
  <c r="Q175" i="1"/>
  <c r="P175" i="1"/>
  <c r="O175" i="1"/>
  <c r="N175" i="1"/>
  <c r="I175" i="1"/>
  <c r="G175" i="1"/>
  <c r="V174" i="1"/>
  <c r="Q174" i="1"/>
  <c r="O174" i="1"/>
  <c r="N174" i="1"/>
  <c r="P174" i="1" s="1"/>
  <c r="I174" i="1"/>
  <c r="G174" i="1"/>
  <c r="V173" i="1"/>
  <c r="Q173" i="1"/>
  <c r="O173" i="1"/>
  <c r="N173" i="1"/>
  <c r="P173" i="1" s="1"/>
  <c r="I173" i="1"/>
  <c r="G173" i="1"/>
  <c r="V172" i="1"/>
  <c r="Q172" i="1"/>
  <c r="P172" i="1"/>
  <c r="O172" i="1"/>
  <c r="N172" i="1"/>
  <c r="I172" i="1"/>
  <c r="G172" i="1"/>
  <c r="V171" i="1"/>
  <c r="Q171" i="1"/>
  <c r="O171" i="1"/>
  <c r="N171" i="1"/>
  <c r="P171" i="1" s="1"/>
  <c r="I171" i="1"/>
  <c r="G171" i="1"/>
  <c r="V170" i="1"/>
  <c r="Q170" i="1"/>
  <c r="P170" i="1"/>
  <c r="O170" i="1"/>
  <c r="N170" i="1"/>
  <c r="I170" i="1"/>
  <c r="G170" i="1"/>
  <c r="V169" i="1"/>
  <c r="Q169" i="1"/>
  <c r="P169" i="1"/>
  <c r="O169" i="1"/>
  <c r="N169" i="1"/>
  <c r="I169" i="1"/>
  <c r="G169" i="1"/>
  <c r="V168" i="1"/>
  <c r="Q168" i="1"/>
  <c r="O168" i="1"/>
  <c r="N168" i="1"/>
  <c r="P168" i="1" s="1"/>
  <c r="I168" i="1"/>
  <c r="G168" i="1"/>
  <c r="V167" i="1"/>
  <c r="Q167" i="1"/>
  <c r="P167" i="1"/>
  <c r="O167" i="1"/>
  <c r="N167" i="1"/>
  <c r="I167" i="1"/>
  <c r="G167" i="1"/>
  <c r="V166" i="1"/>
  <c r="Q166" i="1"/>
  <c r="O166" i="1"/>
  <c r="N166" i="1"/>
  <c r="P166" i="1" s="1"/>
  <c r="I166" i="1"/>
  <c r="G166" i="1"/>
  <c r="V165" i="1"/>
  <c r="Q165" i="1"/>
  <c r="O165" i="1"/>
  <c r="N165" i="1"/>
  <c r="P165" i="1" s="1"/>
  <c r="I165" i="1"/>
  <c r="G165" i="1"/>
  <c r="V164" i="1"/>
  <c r="Q164" i="1"/>
  <c r="P164" i="1"/>
  <c r="O164" i="1"/>
  <c r="N164" i="1"/>
  <c r="I164" i="1"/>
  <c r="G164" i="1"/>
  <c r="V163" i="1"/>
  <c r="Q163" i="1"/>
  <c r="P163" i="1"/>
  <c r="O163" i="1"/>
  <c r="N163" i="1"/>
  <c r="I163" i="1"/>
  <c r="G163" i="1"/>
  <c r="V162" i="1"/>
  <c r="Q162" i="1"/>
  <c r="O162" i="1"/>
  <c r="N162" i="1"/>
  <c r="P162" i="1" s="1"/>
  <c r="I162" i="1"/>
  <c r="G162" i="1"/>
  <c r="V161" i="1"/>
  <c r="Q161" i="1"/>
  <c r="O161" i="1"/>
  <c r="N161" i="1"/>
  <c r="P161" i="1" s="1"/>
  <c r="I161" i="1"/>
  <c r="G161" i="1"/>
  <c r="V160" i="1"/>
  <c r="Q160" i="1"/>
  <c r="P160" i="1"/>
  <c r="O160" i="1"/>
  <c r="N160" i="1"/>
  <c r="I160" i="1"/>
  <c r="G160" i="1"/>
  <c r="V159" i="1"/>
  <c r="Q159" i="1"/>
  <c r="P159" i="1"/>
  <c r="O159" i="1"/>
  <c r="N159" i="1"/>
  <c r="I159" i="1"/>
  <c r="G159" i="1"/>
  <c r="V158" i="1"/>
  <c r="Q158" i="1"/>
  <c r="P158" i="1"/>
  <c r="O158" i="1"/>
  <c r="N158" i="1"/>
  <c r="I158" i="1"/>
  <c r="G158" i="1"/>
  <c r="V157" i="1"/>
  <c r="Q157" i="1"/>
  <c r="P157" i="1"/>
  <c r="O157" i="1"/>
  <c r="N157" i="1"/>
  <c r="I157" i="1"/>
  <c r="G157" i="1"/>
  <c r="V156" i="1"/>
  <c r="Q156" i="1"/>
  <c r="O156" i="1"/>
  <c r="N156" i="1"/>
  <c r="P156" i="1" s="1"/>
  <c r="I156" i="1"/>
  <c r="G156" i="1"/>
  <c r="V155" i="1"/>
  <c r="Q155" i="1"/>
  <c r="P155" i="1"/>
  <c r="O155" i="1"/>
  <c r="N155" i="1"/>
  <c r="I155" i="1"/>
  <c r="G155" i="1"/>
  <c r="V154" i="1"/>
  <c r="Q154" i="1"/>
  <c r="O154" i="1"/>
  <c r="N154" i="1"/>
  <c r="P154" i="1" s="1"/>
  <c r="I154" i="1"/>
  <c r="G154" i="1"/>
  <c r="V153" i="1"/>
  <c r="Q153" i="1"/>
  <c r="O153" i="1"/>
  <c r="N153" i="1"/>
  <c r="P153" i="1" s="1"/>
  <c r="I153" i="1"/>
  <c r="G153" i="1"/>
  <c r="V152" i="1"/>
  <c r="Q152" i="1"/>
  <c r="P152" i="1"/>
  <c r="O152" i="1"/>
  <c r="N152" i="1"/>
  <c r="I152" i="1"/>
  <c r="G152" i="1"/>
  <c r="V151" i="1"/>
  <c r="Q151" i="1"/>
  <c r="P151" i="1"/>
  <c r="O151" i="1"/>
  <c r="N151" i="1"/>
  <c r="I151" i="1"/>
  <c r="G151" i="1"/>
  <c r="V150" i="1"/>
  <c r="Q150" i="1"/>
  <c r="O150" i="1"/>
  <c r="N150" i="1"/>
  <c r="P150" i="1" s="1"/>
  <c r="I150" i="1"/>
  <c r="G150" i="1"/>
  <c r="V149" i="1"/>
  <c r="Q149" i="1"/>
  <c r="O149" i="1"/>
  <c r="N149" i="1"/>
  <c r="P149" i="1" s="1"/>
  <c r="I149" i="1"/>
  <c r="G149" i="1"/>
  <c r="V148" i="1"/>
  <c r="Q148" i="1"/>
  <c r="P148" i="1"/>
  <c r="O148" i="1"/>
  <c r="N148" i="1"/>
  <c r="I148" i="1"/>
  <c r="G148" i="1"/>
  <c r="V147" i="1"/>
  <c r="Q147" i="1"/>
  <c r="P147" i="1"/>
  <c r="O147" i="1"/>
  <c r="N147" i="1"/>
  <c r="I147" i="1"/>
  <c r="G147" i="1"/>
  <c r="V146" i="1"/>
  <c r="Q146" i="1"/>
  <c r="P146" i="1"/>
  <c r="O146" i="1"/>
  <c r="N146" i="1"/>
  <c r="I146" i="1"/>
  <c r="G146" i="1"/>
  <c r="V145" i="1"/>
  <c r="Q145" i="1"/>
  <c r="P145" i="1"/>
  <c r="O145" i="1"/>
  <c r="N145" i="1"/>
  <c r="I145" i="1"/>
  <c r="G145" i="1"/>
  <c r="V144" i="1"/>
  <c r="Q144" i="1"/>
  <c r="O144" i="1"/>
  <c r="N144" i="1"/>
  <c r="P144" i="1" s="1"/>
  <c r="I144" i="1"/>
  <c r="G144" i="1"/>
  <c r="V143" i="1"/>
  <c r="Q143" i="1"/>
  <c r="P143" i="1"/>
  <c r="O143" i="1"/>
  <c r="N143" i="1"/>
  <c r="I143" i="1"/>
  <c r="G143" i="1"/>
  <c r="V142" i="1"/>
  <c r="Q142" i="1"/>
  <c r="O142" i="1"/>
  <c r="N142" i="1"/>
  <c r="P142" i="1" s="1"/>
  <c r="I142" i="1"/>
  <c r="G142" i="1"/>
  <c r="V141" i="1"/>
  <c r="Q141" i="1"/>
  <c r="O141" i="1"/>
  <c r="N141" i="1"/>
  <c r="P141" i="1" s="1"/>
  <c r="I141" i="1"/>
  <c r="G141" i="1"/>
  <c r="V140" i="1"/>
  <c r="Q140" i="1"/>
  <c r="P140" i="1"/>
  <c r="O140" i="1"/>
  <c r="N140" i="1"/>
  <c r="I140" i="1"/>
  <c r="G140" i="1"/>
  <c r="V139" i="1"/>
  <c r="Q139" i="1"/>
  <c r="P139" i="1"/>
  <c r="O139" i="1"/>
  <c r="N139" i="1"/>
  <c r="I139" i="1"/>
  <c r="G139" i="1"/>
  <c r="V138" i="1"/>
  <c r="Q138" i="1"/>
  <c r="O138" i="1"/>
  <c r="N138" i="1"/>
  <c r="P138" i="1" s="1"/>
  <c r="I138" i="1"/>
  <c r="G138" i="1"/>
  <c r="V137" i="1"/>
  <c r="Q137" i="1"/>
  <c r="O137" i="1"/>
  <c r="N137" i="1"/>
  <c r="P137" i="1" s="1"/>
  <c r="I137" i="1"/>
  <c r="G137" i="1"/>
  <c r="V136" i="1"/>
  <c r="Q136" i="1"/>
  <c r="P136" i="1"/>
  <c r="O136" i="1"/>
  <c r="N136" i="1"/>
  <c r="I136" i="1"/>
  <c r="G136" i="1"/>
  <c r="V135" i="1"/>
  <c r="Q135" i="1"/>
  <c r="O135" i="1"/>
  <c r="N135" i="1"/>
  <c r="P135" i="1" s="1"/>
  <c r="I135" i="1"/>
  <c r="G135" i="1"/>
  <c r="V134" i="1"/>
  <c r="Q134" i="1"/>
  <c r="P134" i="1"/>
  <c r="O134" i="1"/>
  <c r="N134" i="1"/>
  <c r="I134" i="1"/>
  <c r="G134" i="1"/>
  <c r="V133" i="1"/>
  <c r="Q133" i="1"/>
  <c r="P133" i="1"/>
  <c r="O133" i="1"/>
  <c r="N133" i="1"/>
  <c r="I133" i="1"/>
  <c r="G133" i="1"/>
  <c r="V132" i="1"/>
  <c r="Q132" i="1"/>
  <c r="O132" i="1"/>
  <c r="N132" i="1"/>
  <c r="P132" i="1" s="1"/>
  <c r="I132" i="1"/>
  <c r="G132" i="1"/>
  <c r="V131" i="1"/>
  <c r="Q131" i="1"/>
  <c r="P131" i="1"/>
  <c r="O131" i="1"/>
  <c r="N131" i="1"/>
  <c r="I131" i="1"/>
  <c r="G131" i="1"/>
  <c r="V130" i="1"/>
  <c r="Q130" i="1"/>
  <c r="O130" i="1"/>
  <c r="N130" i="1"/>
  <c r="P130" i="1" s="1"/>
  <c r="I130" i="1"/>
  <c r="G130" i="1"/>
  <c r="V129" i="1"/>
  <c r="Q129" i="1"/>
  <c r="O129" i="1"/>
  <c r="N129" i="1"/>
  <c r="P129" i="1" s="1"/>
  <c r="I129" i="1"/>
  <c r="G129" i="1"/>
  <c r="V128" i="1"/>
  <c r="Q128" i="1"/>
  <c r="P128" i="1"/>
  <c r="O128" i="1"/>
  <c r="N128" i="1"/>
  <c r="I128" i="1"/>
  <c r="G128" i="1"/>
  <c r="V127" i="1"/>
  <c r="Q127" i="1"/>
  <c r="P127" i="1"/>
  <c r="O127" i="1"/>
  <c r="N127" i="1"/>
  <c r="I127" i="1"/>
  <c r="G127" i="1"/>
  <c r="V126" i="1"/>
  <c r="Q126" i="1"/>
  <c r="O126" i="1"/>
  <c r="N126" i="1"/>
  <c r="P126" i="1" s="1"/>
  <c r="I126" i="1"/>
  <c r="G126" i="1"/>
  <c r="V125" i="1"/>
  <c r="Q125" i="1"/>
  <c r="O125" i="1"/>
  <c r="N125" i="1"/>
  <c r="P125" i="1" s="1"/>
  <c r="I125" i="1"/>
  <c r="G125" i="1"/>
  <c r="V124" i="1"/>
  <c r="Q124" i="1"/>
  <c r="P124" i="1"/>
  <c r="O124" i="1"/>
  <c r="N124" i="1"/>
  <c r="I124" i="1"/>
  <c r="G124" i="1"/>
  <c r="V123" i="1"/>
  <c r="Q123" i="1"/>
  <c r="P123" i="1"/>
  <c r="O123" i="1"/>
  <c r="N123" i="1"/>
  <c r="I123" i="1"/>
  <c r="G123" i="1"/>
  <c r="V122" i="1"/>
  <c r="Q122" i="1"/>
  <c r="P122" i="1"/>
  <c r="O122" i="1"/>
  <c r="N122" i="1"/>
  <c r="I122" i="1"/>
  <c r="G122" i="1"/>
  <c r="V121" i="1"/>
  <c r="Q121" i="1"/>
  <c r="P121" i="1"/>
  <c r="O121" i="1"/>
  <c r="N121" i="1"/>
  <c r="I121" i="1"/>
  <c r="G121" i="1"/>
  <c r="V120" i="1"/>
  <c r="Q120" i="1"/>
  <c r="O120" i="1"/>
  <c r="N120" i="1"/>
  <c r="P120" i="1" s="1"/>
  <c r="I120" i="1"/>
  <c r="G120" i="1"/>
  <c r="V119" i="1"/>
  <c r="Q119" i="1"/>
  <c r="P119" i="1"/>
  <c r="O119" i="1"/>
  <c r="N119" i="1"/>
  <c r="I119" i="1"/>
  <c r="G119" i="1"/>
  <c r="V118" i="1"/>
  <c r="Q118" i="1"/>
  <c r="O118" i="1"/>
  <c r="N118" i="1"/>
  <c r="P118" i="1" s="1"/>
  <c r="I118" i="1"/>
  <c r="G118" i="1"/>
  <c r="V117" i="1"/>
  <c r="Q117" i="1"/>
  <c r="O117" i="1"/>
  <c r="N117" i="1"/>
  <c r="P117" i="1" s="1"/>
  <c r="I117" i="1"/>
  <c r="G117" i="1"/>
  <c r="V116" i="1"/>
  <c r="Q116" i="1"/>
  <c r="P116" i="1"/>
  <c r="O116" i="1"/>
  <c r="N116" i="1"/>
  <c r="I116" i="1"/>
  <c r="G116" i="1"/>
  <c r="V115" i="1"/>
  <c r="Q115" i="1"/>
  <c r="P115" i="1"/>
  <c r="O115" i="1"/>
  <c r="N115" i="1"/>
  <c r="I115" i="1"/>
  <c r="G115" i="1"/>
  <c r="V114" i="1"/>
  <c r="Q114" i="1"/>
  <c r="O114" i="1"/>
  <c r="N114" i="1"/>
  <c r="P114" i="1" s="1"/>
  <c r="I114" i="1"/>
  <c r="G114" i="1"/>
  <c r="V113" i="1"/>
  <c r="Q113" i="1"/>
  <c r="O113" i="1"/>
  <c r="N113" i="1"/>
  <c r="P113" i="1" s="1"/>
  <c r="I113" i="1"/>
  <c r="G113" i="1"/>
  <c r="O112" i="1"/>
  <c r="N112" i="1"/>
  <c r="G112" i="1"/>
  <c r="I112" i="1" s="1"/>
  <c r="V111" i="1"/>
  <c r="Q111" i="1"/>
  <c r="P111" i="1"/>
  <c r="O111" i="1"/>
  <c r="N111" i="1"/>
  <c r="I111" i="1"/>
  <c r="G111" i="1"/>
  <c r="Q110" i="1"/>
  <c r="P110" i="1"/>
  <c r="O110" i="1"/>
  <c r="N110" i="1"/>
  <c r="I110" i="1"/>
  <c r="G110" i="1"/>
  <c r="V109" i="1"/>
  <c r="Q109" i="1"/>
  <c r="O109" i="1"/>
  <c r="N109" i="1"/>
  <c r="P109" i="1" s="1"/>
  <c r="I109" i="1"/>
  <c r="G109" i="1"/>
  <c r="V108" i="1"/>
  <c r="Q108" i="1"/>
  <c r="P108" i="1"/>
  <c r="O108" i="1"/>
  <c r="N108" i="1"/>
  <c r="I108" i="1"/>
  <c r="G108" i="1"/>
  <c r="V107" i="1"/>
  <c r="Q107" i="1"/>
  <c r="O107" i="1"/>
  <c r="N107" i="1"/>
  <c r="P107" i="1" s="1"/>
  <c r="I107" i="1"/>
  <c r="G107" i="1"/>
  <c r="V106" i="1"/>
  <c r="Q106" i="1"/>
  <c r="O106" i="1"/>
  <c r="N106" i="1"/>
  <c r="P106" i="1" s="1"/>
  <c r="I106" i="1"/>
  <c r="G106" i="1"/>
  <c r="V105" i="1"/>
  <c r="Q105" i="1"/>
  <c r="P105" i="1"/>
  <c r="O105" i="1"/>
  <c r="N105" i="1"/>
  <c r="I105" i="1"/>
  <c r="G105" i="1"/>
  <c r="V104" i="1"/>
  <c r="Q104" i="1"/>
  <c r="P104" i="1"/>
  <c r="O104" i="1"/>
  <c r="N104" i="1"/>
  <c r="I104" i="1"/>
  <c r="G104" i="1"/>
  <c r="V103" i="1"/>
  <c r="Q103" i="1"/>
  <c r="O103" i="1"/>
  <c r="N103" i="1"/>
  <c r="P103" i="1" s="1"/>
  <c r="I103" i="1"/>
  <c r="G103" i="1"/>
  <c r="V102" i="1"/>
  <c r="Q102" i="1"/>
  <c r="O102" i="1"/>
  <c r="N102" i="1"/>
  <c r="P102" i="1" s="1"/>
  <c r="I102" i="1"/>
  <c r="G102" i="1"/>
  <c r="V101" i="1"/>
  <c r="Q101" i="1"/>
  <c r="P101" i="1"/>
  <c r="O101" i="1"/>
  <c r="N101" i="1"/>
  <c r="I101" i="1"/>
  <c r="G101" i="1"/>
  <c r="V100" i="1"/>
  <c r="Q100" i="1"/>
  <c r="O100" i="1"/>
  <c r="N100" i="1"/>
  <c r="P100" i="1" s="1"/>
  <c r="I100" i="1"/>
  <c r="G100" i="1"/>
  <c r="V99" i="1"/>
  <c r="Q99" i="1"/>
  <c r="P99" i="1"/>
  <c r="O99" i="1"/>
  <c r="N99" i="1"/>
  <c r="I99" i="1"/>
  <c r="G99" i="1"/>
  <c r="V98" i="1"/>
  <c r="Q98" i="1"/>
  <c r="P98" i="1"/>
  <c r="O98" i="1"/>
  <c r="N98" i="1"/>
  <c r="I98" i="1"/>
  <c r="G98" i="1"/>
  <c r="O97" i="1"/>
  <c r="N97" i="1"/>
  <c r="G97" i="1"/>
  <c r="I97" i="1" s="1"/>
  <c r="V96" i="1"/>
  <c r="Q96" i="1"/>
  <c r="O96" i="1"/>
  <c r="N96" i="1"/>
  <c r="P96" i="1" s="1"/>
  <c r="I96" i="1"/>
  <c r="G96" i="1"/>
  <c r="V95" i="1"/>
  <c r="Q95" i="1"/>
  <c r="P95" i="1"/>
  <c r="O95" i="1"/>
  <c r="N95" i="1"/>
  <c r="I95" i="1"/>
  <c r="G95" i="1"/>
  <c r="V94" i="1"/>
  <c r="Q94" i="1"/>
  <c r="P94" i="1"/>
  <c r="O94" i="1"/>
  <c r="N94" i="1"/>
  <c r="I94" i="1"/>
  <c r="G94" i="1"/>
  <c r="V93" i="1"/>
  <c r="Q93" i="1"/>
  <c r="O93" i="1"/>
  <c r="N93" i="1"/>
  <c r="P93" i="1" s="1"/>
  <c r="I93" i="1"/>
  <c r="G93" i="1"/>
  <c r="O92" i="1"/>
  <c r="N92" i="1"/>
  <c r="G92" i="1"/>
  <c r="I92" i="1" s="1"/>
  <c r="V91" i="1"/>
  <c r="Q91" i="1"/>
  <c r="P91" i="1"/>
  <c r="O91" i="1"/>
  <c r="N91" i="1"/>
  <c r="I91" i="1"/>
  <c r="G91" i="1"/>
  <c r="V90" i="1"/>
  <c r="Q90" i="1"/>
  <c r="P90" i="1"/>
  <c r="O90" i="1"/>
  <c r="N90" i="1"/>
  <c r="I90" i="1"/>
  <c r="G90" i="1"/>
  <c r="V89" i="1"/>
  <c r="Q89" i="1"/>
  <c r="O89" i="1"/>
  <c r="N89" i="1"/>
  <c r="P89" i="1" s="1"/>
  <c r="I89" i="1"/>
  <c r="G89" i="1"/>
  <c r="V88" i="1"/>
  <c r="Q88" i="1"/>
  <c r="P88" i="1"/>
  <c r="O88" i="1"/>
  <c r="N88" i="1"/>
  <c r="I88" i="1"/>
  <c r="G88" i="1"/>
  <c r="V87" i="1"/>
  <c r="Q87" i="1"/>
  <c r="P87" i="1"/>
  <c r="O87" i="1"/>
  <c r="N87" i="1"/>
  <c r="I87" i="1"/>
  <c r="G87" i="1"/>
  <c r="V86" i="1"/>
  <c r="Q86" i="1"/>
  <c r="O86" i="1"/>
  <c r="N86" i="1"/>
  <c r="P86" i="1" s="1"/>
  <c r="I86" i="1"/>
  <c r="G86" i="1"/>
  <c r="V85" i="1"/>
  <c r="Q85" i="1"/>
  <c r="P85" i="1"/>
  <c r="O85" i="1"/>
  <c r="N85" i="1"/>
  <c r="I85" i="1"/>
  <c r="G85" i="1"/>
  <c r="V84" i="1"/>
  <c r="Q84" i="1"/>
  <c r="P84" i="1"/>
  <c r="O84" i="1"/>
  <c r="N84" i="1"/>
  <c r="I84" i="1"/>
  <c r="G84" i="1"/>
  <c r="V83" i="1"/>
  <c r="Q83" i="1"/>
  <c r="O83" i="1"/>
  <c r="N83" i="1"/>
  <c r="P83" i="1" s="1"/>
  <c r="I83" i="1"/>
  <c r="G83" i="1"/>
  <c r="V82" i="1"/>
  <c r="Q82" i="1"/>
  <c r="O82" i="1"/>
  <c r="N82" i="1"/>
  <c r="P82" i="1" s="1"/>
  <c r="I82" i="1"/>
  <c r="G82" i="1"/>
  <c r="V81" i="1"/>
  <c r="Q81" i="1"/>
  <c r="P81" i="1"/>
  <c r="O81" i="1"/>
  <c r="N81" i="1"/>
  <c r="I81" i="1"/>
  <c r="G81" i="1"/>
  <c r="V80" i="1"/>
  <c r="Q80" i="1"/>
  <c r="O80" i="1"/>
  <c r="N80" i="1"/>
  <c r="P80" i="1" s="1"/>
  <c r="I80" i="1"/>
  <c r="G80" i="1"/>
  <c r="V79" i="1"/>
  <c r="Q79" i="1"/>
  <c r="P79" i="1"/>
  <c r="O79" i="1"/>
  <c r="N79" i="1"/>
  <c r="I79" i="1"/>
  <c r="G79" i="1"/>
  <c r="V78" i="1"/>
  <c r="Q78" i="1"/>
  <c r="P78" i="1"/>
  <c r="O78" i="1"/>
  <c r="N78" i="1"/>
  <c r="I78" i="1"/>
  <c r="G78" i="1"/>
  <c r="V77" i="1"/>
  <c r="Q77" i="1"/>
  <c r="O77" i="1"/>
  <c r="N77" i="1"/>
  <c r="P77" i="1" s="1"/>
  <c r="I77" i="1"/>
  <c r="G77" i="1"/>
  <c r="V76" i="1"/>
  <c r="Q76" i="1"/>
  <c r="P76" i="1"/>
  <c r="O76" i="1"/>
  <c r="N76" i="1"/>
  <c r="I76" i="1"/>
  <c r="G76" i="1"/>
  <c r="V75" i="1"/>
  <c r="Q75" i="1"/>
  <c r="P75" i="1"/>
  <c r="O75" i="1"/>
  <c r="N75" i="1"/>
  <c r="I75" i="1"/>
  <c r="G75" i="1"/>
  <c r="V74" i="1"/>
  <c r="Q74" i="1"/>
  <c r="O74" i="1"/>
  <c r="N74" i="1"/>
  <c r="P74" i="1" s="1"/>
  <c r="I74" i="1"/>
  <c r="G74" i="1"/>
  <c r="V73" i="1"/>
  <c r="Q73" i="1"/>
  <c r="P73" i="1"/>
  <c r="O73" i="1"/>
  <c r="N73" i="1"/>
  <c r="I73" i="1"/>
  <c r="G73" i="1"/>
  <c r="V72" i="1"/>
  <c r="Q72" i="1"/>
  <c r="P72" i="1"/>
  <c r="O72" i="1"/>
  <c r="N72" i="1"/>
  <c r="I72" i="1"/>
  <c r="G72" i="1"/>
  <c r="V71" i="1"/>
  <c r="Q71" i="1"/>
  <c r="O71" i="1"/>
  <c r="N71" i="1"/>
  <c r="P71" i="1" s="1"/>
  <c r="I71" i="1"/>
  <c r="G71" i="1"/>
  <c r="V70" i="1"/>
  <c r="Q70" i="1"/>
  <c r="O70" i="1"/>
  <c r="N70" i="1"/>
  <c r="P70" i="1" s="1"/>
  <c r="I70" i="1"/>
  <c r="G70" i="1"/>
  <c r="V69" i="1"/>
  <c r="Q69" i="1"/>
  <c r="P69" i="1"/>
  <c r="O69" i="1"/>
  <c r="N69" i="1"/>
  <c r="I69" i="1"/>
  <c r="G69" i="1"/>
  <c r="V68" i="1"/>
  <c r="Q68" i="1"/>
  <c r="O68" i="1"/>
  <c r="N68" i="1"/>
  <c r="P68" i="1" s="1"/>
  <c r="I68" i="1"/>
  <c r="G68" i="1"/>
  <c r="V67" i="1"/>
  <c r="Q67" i="1"/>
  <c r="P67" i="1"/>
  <c r="O67" i="1"/>
  <c r="N67" i="1"/>
  <c r="I67" i="1"/>
  <c r="G67" i="1"/>
  <c r="V66" i="1"/>
  <c r="Q66" i="1"/>
  <c r="P66" i="1"/>
  <c r="O66" i="1"/>
  <c r="N66" i="1"/>
  <c r="I66" i="1"/>
  <c r="G66" i="1"/>
  <c r="V65" i="1"/>
  <c r="Q65" i="1"/>
  <c r="O65" i="1"/>
  <c r="N65" i="1"/>
  <c r="P65" i="1" s="1"/>
  <c r="I65" i="1"/>
  <c r="G65" i="1"/>
  <c r="V64" i="1"/>
  <c r="Q64" i="1"/>
  <c r="P64" i="1"/>
  <c r="O64" i="1"/>
  <c r="N64" i="1"/>
  <c r="I64" i="1"/>
  <c r="G64" i="1"/>
  <c r="V63" i="1"/>
  <c r="Q63" i="1"/>
  <c r="O63" i="1"/>
  <c r="N63" i="1"/>
  <c r="P63" i="1" s="1"/>
  <c r="I63" i="1"/>
  <c r="G63" i="1"/>
  <c r="V62" i="1"/>
  <c r="Q62" i="1"/>
  <c r="O62" i="1"/>
  <c r="N62" i="1"/>
  <c r="P62" i="1" s="1"/>
  <c r="I62" i="1"/>
  <c r="G62" i="1"/>
  <c r="V61" i="1"/>
  <c r="Q61" i="1"/>
  <c r="P61" i="1"/>
  <c r="O61" i="1"/>
  <c r="N61" i="1"/>
  <c r="I61" i="1"/>
  <c r="G61" i="1"/>
  <c r="V60" i="1"/>
  <c r="Q60" i="1"/>
  <c r="P60" i="1"/>
  <c r="O60" i="1"/>
  <c r="N60" i="1"/>
  <c r="I60" i="1"/>
  <c r="G60" i="1"/>
  <c r="V59" i="1"/>
  <c r="Q59" i="1"/>
  <c r="O59" i="1"/>
  <c r="N59" i="1"/>
  <c r="P59" i="1" s="1"/>
  <c r="I59" i="1"/>
  <c r="G59" i="1"/>
  <c r="V58" i="1"/>
  <c r="Q58" i="1"/>
  <c r="O58" i="1"/>
  <c r="N58" i="1"/>
  <c r="P58" i="1" s="1"/>
  <c r="I58" i="1"/>
  <c r="G58" i="1"/>
  <c r="V57" i="1"/>
  <c r="Q57" i="1"/>
  <c r="P57" i="1"/>
  <c r="O57" i="1"/>
  <c r="N57" i="1"/>
  <c r="I57" i="1"/>
  <c r="G57" i="1"/>
  <c r="V56" i="1"/>
  <c r="Q56" i="1"/>
  <c r="O56" i="1"/>
  <c r="N56" i="1"/>
  <c r="P56" i="1" s="1"/>
  <c r="I56" i="1"/>
  <c r="G56" i="1"/>
  <c r="V55" i="1"/>
  <c r="Q55" i="1"/>
  <c r="P55" i="1"/>
  <c r="O55" i="1"/>
  <c r="N55" i="1"/>
  <c r="I55" i="1"/>
  <c r="G55" i="1"/>
  <c r="V54" i="1"/>
  <c r="Q54" i="1"/>
  <c r="P54" i="1"/>
  <c r="O54" i="1"/>
  <c r="N54" i="1"/>
  <c r="I54" i="1"/>
  <c r="G54" i="1"/>
  <c r="V53" i="1"/>
  <c r="Q53" i="1"/>
  <c r="O53" i="1"/>
  <c r="N53" i="1"/>
  <c r="P53" i="1" s="1"/>
  <c r="I53" i="1"/>
  <c r="G53" i="1"/>
  <c r="V52" i="1"/>
  <c r="Q52" i="1"/>
  <c r="P52" i="1"/>
  <c r="O52" i="1"/>
  <c r="N52" i="1"/>
  <c r="I52" i="1"/>
  <c r="G52" i="1"/>
  <c r="V51" i="1"/>
  <c r="Q51" i="1"/>
  <c r="P51" i="1"/>
  <c r="O51" i="1"/>
  <c r="N51" i="1"/>
  <c r="I51" i="1"/>
  <c r="G51" i="1"/>
  <c r="V50" i="1"/>
  <c r="Q50" i="1"/>
  <c r="O50" i="1"/>
  <c r="N50" i="1"/>
  <c r="P50" i="1" s="1"/>
  <c r="I50" i="1"/>
  <c r="G50" i="1"/>
  <c r="V49" i="1"/>
  <c r="Q49" i="1"/>
  <c r="P49" i="1"/>
  <c r="O49" i="1"/>
  <c r="N49" i="1"/>
  <c r="I49" i="1"/>
  <c r="G49" i="1"/>
  <c r="V48" i="1"/>
  <c r="Q48" i="1"/>
  <c r="P48" i="1"/>
  <c r="O48" i="1"/>
  <c r="N48" i="1"/>
  <c r="I48" i="1"/>
  <c r="G48" i="1"/>
  <c r="V47" i="1"/>
  <c r="Q47" i="1"/>
  <c r="O47" i="1"/>
  <c r="N47" i="1"/>
  <c r="P47" i="1" s="1"/>
  <c r="I47" i="1"/>
  <c r="G47" i="1"/>
  <c r="V46" i="1"/>
  <c r="Q46" i="1"/>
  <c r="O46" i="1"/>
  <c r="N46" i="1"/>
  <c r="P46" i="1" s="1"/>
  <c r="I46" i="1"/>
  <c r="G46" i="1"/>
  <c r="V45" i="1"/>
  <c r="Q45" i="1"/>
  <c r="P45" i="1"/>
  <c r="O45" i="1"/>
  <c r="N45" i="1"/>
  <c r="I45" i="1"/>
  <c r="G45" i="1"/>
  <c r="V44" i="1"/>
  <c r="Q44" i="1"/>
  <c r="O44" i="1"/>
  <c r="N44" i="1"/>
  <c r="P44" i="1" s="1"/>
  <c r="I44" i="1"/>
  <c r="G44" i="1"/>
  <c r="V43" i="1"/>
  <c r="Q43" i="1"/>
  <c r="P43" i="1"/>
  <c r="O43" i="1"/>
  <c r="N43" i="1"/>
  <c r="I43" i="1"/>
  <c r="G43" i="1"/>
  <c r="V42" i="1"/>
  <c r="Q42" i="1"/>
  <c r="P42" i="1"/>
  <c r="O42" i="1"/>
  <c r="N42" i="1"/>
  <c r="I42" i="1"/>
  <c r="G42" i="1"/>
  <c r="V41" i="1"/>
  <c r="Q41" i="1"/>
  <c r="O41" i="1"/>
  <c r="N41" i="1"/>
  <c r="P41" i="1" s="1"/>
  <c r="I41" i="1"/>
  <c r="G41" i="1"/>
  <c r="V40" i="1"/>
  <c r="Q40" i="1"/>
  <c r="P40" i="1"/>
  <c r="O40" i="1"/>
  <c r="N40" i="1"/>
  <c r="I40" i="1"/>
  <c r="G40" i="1"/>
  <c r="V39" i="1"/>
  <c r="Q39" i="1"/>
  <c r="P39" i="1"/>
  <c r="O39" i="1"/>
  <c r="N39" i="1"/>
  <c r="I39" i="1"/>
  <c r="G39" i="1"/>
  <c r="V38" i="1"/>
  <c r="Q38" i="1"/>
  <c r="O38" i="1"/>
  <c r="N38" i="1"/>
  <c r="P38" i="1" s="1"/>
  <c r="I38" i="1"/>
  <c r="G38" i="1"/>
  <c r="V37" i="1"/>
  <c r="Q37" i="1"/>
  <c r="P37" i="1"/>
  <c r="O37" i="1"/>
  <c r="N37" i="1"/>
  <c r="I37" i="1"/>
  <c r="G37" i="1"/>
  <c r="V36" i="1"/>
  <c r="Q36" i="1"/>
  <c r="P36" i="1"/>
  <c r="O36" i="1"/>
  <c r="N36" i="1"/>
  <c r="I36" i="1"/>
  <c r="G36" i="1"/>
  <c r="V35" i="1"/>
  <c r="Q35" i="1"/>
  <c r="O35" i="1"/>
  <c r="N35" i="1"/>
  <c r="P35" i="1" s="1"/>
  <c r="I35" i="1"/>
  <c r="G35" i="1"/>
  <c r="V34" i="1"/>
  <c r="Q34" i="1"/>
  <c r="O34" i="1"/>
  <c r="N34" i="1"/>
  <c r="P34" i="1" s="1"/>
  <c r="I34" i="1"/>
  <c r="G34" i="1"/>
  <c r="V33" i="1"/>
  <c r="Q33" i="1"/>
  <c r="P33" i="1"/>
  <c r="O33" i="1"/>
  <c r="N33" i="1"/>
  <c r="I33" i="1"/>
  <c r="G33" i="1"/>
  <c r="V32" i="1"/>
  <c r="Q32" i="1"/>
  <c r="O32" i="1"/>
  <c r="N32" i="1"/>
  <c r="P32" i="1" s="1"/>
  <c r="I32" i="1"/>
  <c r="G32" i="1"/>
  <c r="V31" i="1"/>
  <c r="Q31" i="1"/>
  <c r="P31" i="1"/>
  <c r="O31" i="1"/>
  <c r="N31" i="1"/>
  <c r="I31" i="1"/>
  <c r="G31" i="1"/>
  <c r="V30" i="1"/>
  <c r="Q30" i="1"/>
  <c r="P30" i="1"/>
  <c r="O30" i="1"/>
  <c r="N30" i="1"/>
  <c r="I30" i="1"/>
  <c r="G30" i="1"/>
  <c r="V29" i="1"/>
  <c r="Q29" i="1"/>
  <c r="O29" i="1"/>
  <c r="N29" i="1"/>
  <c r="P29" i="1" s="1"/>
  <c r="I29" i="1"/>
  <c r="G29" i="1"/>
  <c r="V28" i="1"/>
  <c r="Q28" i="1"/>
  <c r="P28" i="1"/>
  <c r="O28" i="1"/>
  <c r="N28" i="1"/>
  <c r="I28" i="1"/>
  <c r="G28" i="1"/>
  <c r="V27" i="1"/>
  <c r="Q27" i="1"/>
  <c r="O27" i="1"/>
  <c r="N27" i="1"/>
  <c r="P27" i="1" s="1"/>
  <c r="I27" i="1"/>
  <c r="G27" i="1"/>
  <c r="V26" i="1"/>
  <c r="Q26" i="1"/>
  <c r="O26" i="1"/>
  <c r="N26" i="1"/>
  <c r="P26" i="1" s="1"/>
  <c r="I26" i="1"/>
  <c r="G26" i="1"/>
  <c r="V25" i="1"/>
  <c r="Q25" i="1"/>
  <c r="P25" i="1"/>
  <c r="O25" i="1"/>
  <c r="N25" i="1"/>
  <c r="I25" i="1"/>
  <c r="G25" i="1"/>
  <c r="V24" i="1"/>
  <c r="Q24" i="1"/>
  <c r="P24" i="1"/>
  <c r="O24" i="1"/>
  <c r="N24" i="1"/>
  <c r="I24" i="1"/>
  <c r="G24" i="1"/>
  <c r="V23" i="1"/>
  <c r="Q23" i="1"/>
  <c r="O23" i="1"/>
  <c r="N23" i="1"/>
  <c r="P23" i="1" s="1"/>
  <c r="I23" i="1"/>
  <c r="G23" i="1"/>
  <c r="V22" i="1"/>
  <c r="Q22" i="1"/>
  <c r="O22" i="1"/>
  <c r="N22" i="1"/>
  <c r="P22" i="1" s="1"/>
  <c r="I22" i="1"/>
  <c r="G22" i="1"/>
  <c r="V21" i="1"/>
  <c r="Q21" i="1"/>
  <c r="P21" i="1"/>
  <c r="O21" i="1"/>
  <c r="N21" i="1"/>
  <c r="I21" i="1"/>
  <c r="G21" i="1"/>
  <c r="V20" i="1"/>
  <c r="Q20" i="1"/>
  <c r="O20" i="1"/>
  <c r="N20" i="1"/>
  <c r="P20" i="1" s="1"/>
  <c r="I20" i="1"/>
  <c r="G20" i="1"/>
  <c r="V19" i="1"/>
  <c r="Q19" i="1"/>
  <c r="P19" i="1"/>
  <c r="O19" i="1"/>
  <c r="N19" i="1"/>
  <c r="I19" i="1"/>
  <c r="G19" i="1"/>
  <c r="V18" i="1"/>
  <c r="Q18" i="1"/>
  <c r="P18" i="1"/>
  <c r="O18" i="1"/>
  <c r="N18" i="1"/>
  <c r="I18" i="1"/>
  <c r="G18" i="1"/>
  <c r="V17" i="1"/>
  <c r="Q17" i="1"/>
  <c r="O17" i="1"/>
  <c r="N17" i="1"/>
  <c r="P17" i="1" s="1"/>
  <c r="I17" i="1"/>
  <c r="G17" i="1"/>
  <c r="V16" i="1"/>
  <c r="Q16" i="1"/>
  <c r="P16" i="1"/>
  <c r="O16" i="1"/>
  <c r="N16" i="1"/>
  <c r="I16" i="1"/>
  <c r="G16" i="1"/>
  <c r="V15" i="1"/>
  <c r="Q15" i="1"/>
  <c r="P15" i="1"/>
  <c r="O15" i="1"/>
  <c r="N15" i="1"/>
  <c r="I15" i="1"/>
  <c r="G15" i="1"/>
  <c r="V14" i="1"/>
  <c r="Q14" i="1"/>
  <c r="O14" i="1"/>
  <c r="N14" i="1"/>
  <c r="P14" i="1" s="1"/>
  <c r="I14" i="1"/>
  <c r="G14" i="1"/>
  <c r="V13" i="1"/>
  <c r="Q13" i="1"/>
  <c r="P13" i="1"/>
  <c r="O13" i="1"/>
  <c r="N13" i="1"/>
  <c r="I13" i="1"/>
  <c r="G13" i="1"/>
  <c r="V12" i="1"/>
  <c r="Q12" i="1"/>
  <c r="P12" i="1"/>
  <c r="O12" i="1"/>
  <c r="N12" i="1"/>
  <c r="I12" i="1"/>
  <c r="G12" i="1"/>
  <c r="V11" i="1"/>
  <c r="Q11" i="1"/>
  <c r="O11" i="1"/>
  <c r="N11" i="1"/>
  <c r="P11" i="1" s="1"/>
  <c r="I11" i="1"/>
  <c r="G11" i="1"/>
  <c r="V10" i="1"/>
  <c r="Q10" i="1"/>
  <c r="O10" i="1"/>
  <c r="N10" i="1"/>
  <c r="P10" i="1" s="1"/>
  <c r="I10" i="1"/>
  <c r="G10" i="1"/>
  <c r="V9" i="1"/>
  <c r="Q9" i="1"/>
  <c r="P9" i="1"/>
  <c r="O9" i="1"/>
  <c r="N9" i="1"/>
  <c r="I9" i="1"/>
  <c r="G9" i="1"/>
  <c r="V8" i="1"/>
  <c r="Q8" i="1"/>
  <c r="O8" i="1"/>
  <c r="N8" i="1"/>
  <c r="P8" i="1" s="1"/>
  <c r="I8" i="1"/>
  <c r="G8" i="1"/>
  <c r="V7" i="1"/>
  <c r="Q7" i="1"/>
  <c r="P7" i="1"/>
  <c r="O7" i="1"/>
  <c r="N7" i="1"/>
  <c r="I7" i="1"/>
  <c r="G7" i="1"/>
  <c r="V6" i="1"/>
  <c r="Q6" i="1"/>
  <c r="P6" i="1"/>
  <c r="O6" i="1"/>
  <c r="N6" i="1"/>
  <c r="I6" i="1"/>
  <c r="G6" i="1"/>
  <c r="V5" i="1"/>
  <c r="Q5" i="1"/>
  <c r="O5" i="1"/>
  <c r="N5" i="1"/>
  <c r="P5" i="1" s="1"/>
  <c r="I5" i="1"/>
  <c r="G5" i="1"/>
  <c r="V4" i="1"/>
  <c r="Q4" i="1"/>
  <c r="P4" i="1"/>
  <c r="O4" i="1"/>
  <c r="N4" i="1"/>
  <c r="I4" i="1"/>
  <c r="G4" i="1"/>
  <c r="Q3" i="1"/>
  <c r="P3" i="1"/>
  <c r="O3" i="1"/>
  <c r="N3" i="1"/>
  <c r="I3" i="1"/>
  <c r="G3" i="1"/>
  <c r="I2" i="1"/>
  <c r="G2" i="1"/>
  <c r="P92" i="1" l="1"/>
  <c r="Q92" i="1"/>
  <c r="P97" i="1"/>
  <c r="Q97" i="1"/>
  <c r="P112" i="1"/>
  <c r="Q112" i="1"/>
</calcChain>
</file>

<file path=xl/sharedStrings.xml><?xml version="1.0" encoding="utf-8"?>
<sst xmlns="http://schemas.openxmlformats.org/spreadsheetml/2006/main" count="2526" uniqueCount="866">
  <si>
    <t>CODIGO</t>
  </si>
  <si>
    <t>DESCRICAO</t>
  </si>
  <si>
    <t>CATEGORIA</t>
  </si>
  <si>
    <t>SUBCATEGORIA</t>
  </si>
  <si>
    <t>PRECO_VENDA</t>
  </si>
  <si>
    <t>STATUS</t>
  </si>
  <si>
    <t>MARCA</t>
  </si>
  <si>
    <t>NOME</t>
  </si>
  <si>
    <t xml:space="preserve">TELEFONE </t>
  </si>
  <si>
    <t>CIDADE</t>
  </si>
  <si>
    <t>BAIRRO</t>
  </si>
  <si>
    <t>CPF</t>
  </si>
  <si>
    <t>DATA_CADASTRO</t>
  </si>
  <si>
    <t>OBSERVACAO</t>
  </si>
  <si>
    <t>DATA</t>
  </si>
  <si>
    <t>QUANTIDADE</t>
  </si>
  <si>
    <t>ORIGEM</t>
  </si>
  <si>
    <t>DESTINO</t>
  </si>
  <si>
    <t>RESPONSAVEL</t>
  </si>
  <si>
    <t>ID_ROMANEIO</t>
  </si>
  <si>
    <t>REVENDEDORA</t>
  </si>
  <si>
    <t>TOTAL</t>
  </si>
  <si>
    <t>FAIXA_COMISSAO</t>
  </si>
  <si>
    <t>CÓDIGO</t>
  </si>
  <si>
    <t>EMAIL</t>
  </si>
  <si>
    <t>WHATSAPP</t>
  </si>
  <si>
    <t>ESTADO</t>
  </si>
  <si>
    <t>CEP</t>
  </si>
  <si>
    <t>MOTIVO</t>
  </si>
  <si>
    <t>ID REVENDEDORA</t>
  </si>
  <si>
    <t>EM MALETA</t>
  </si>
  <si>
    <t>CODIGO_FORNECEDOR</t>
  </si>
  <si>
    <t>VALOR TOTAL EM ESTOQUE</t>
  </si>
  <si>
    <t>BRINCO BOLINHAS MEDIAS</t>
  </si>
  <si>
    <t>BRINCO BOLINHA PEQUENO</t>
  </si>
  <si>
    <t>BRINCO DE BOLINHA</t>
  </si>
  <si>
    <t>BRINCO PEROLA MICRO</t>
  </si>
  <si>
    <t>BRINCO PEROLA MEDIA</t>
  </si>
  <si>
    <t>BRINCO PEQUENA CRUZ COM ZIRCONIAS CRAVEJADAS</t>
  </si>
  <si>
    <t>BRINCO COM ZIRCONIA 8MM</t>
  </si>
  <si>
    <t>BRINCO PEDRINHA ZIRCONIA PONTO DE LUZ</t>
  </si>
  <si>
    <t>BRINCO PONTINHO DE LUZ ZIRCONIA TRANSPARENTE 6MM</t>
  </si>
  <si>
    <t>BRINCO PONTINHO RUBI</t>
  </si>
  <si>
    <t>BRINCO ARGOLINHA COM PINGENTE DE ESTRELA CRAVEJADO</t>
  </si>
  <si>
    <t>PIERCING</t>
  </si>
  <si>
    <t>BRINCO ARGOLINHA COM CHAVE</t>
  </si>
  <si>
    <t>BRINCO COM ESCRITA FÉ</t>
  </si>
  <si>
    <t>BRINCO CORAÇÃO</t>
  </si>
  <si>
    <t>BRINCO ARGOLA FINA</t>
  </si>
  <si>
    <t>BRINCO</t>
  </si>
  <si>
    <t>TRIO BRINCOS ARGOLINHAS GROSSAS COM ZIRCONIA</t>
  </si>
  <si>
    <t>BRINCO PEROLA MÉDIO</t>
  </si>
  <si>
    <t>BRINCO CORAÇÃO LISO BORDAS DETALHADAS</t>
  </si>
  <si>
    <t>BRINCO FORMATO GOTA VAZADO 5X7</t>
  </si>
  <si>
    <t>BRINCO PEDRINHA PRETA REDONDA 8MM</t>
  </si>
  <si>
    <t>BRINCO COM PINGENTE ESCRITO FÉ</t>
  </si>
  <si>
    <t>BRINCO ZIRCONIA FORMADO ESTRELA</t>
  </si>
  <si>
    <t>TRIO DE BRINCOS FORMATO ESTRELA COM ZIRCONIAS</t>
  </si>
  <si>
    <t>TRIO ARGOLAS CRAVEJADAS COM ZIRCONIA</t>
  </si>
  <si>
    <t>BRINCO FLOR COM UMA ZIRCONIA NO CENTRO</t>
  </si>
  <si>
    <t>BRINCO COM ZIRCONIAS FORMATO ESTRELA CADENTE</t>
  </si>
  <si>
    <t>TRIO BRINCOS</t>
  </si>
  <si>
    <t>DUPLA BRINCOS GOTA ZIRCONIA</t>
  </si>
  <si>
    <t>BRINCO CONCHA</t>
  </si>
  <si>
    <t>BRINCO PEDRA AZUL</t>
  </si>
  <si>
    <t>BRINCO ARGOLA TUBO RETORCIDO</t>
  </si>
  <si>
    <t>BRINCO COM ZIRCONIAS FORMATO MEIA LUA</t>
  </si>
  <si>
    <t>BRINCO ARGOLA TRANÇADA MÉDIO</t>
  </si>
  <si>
    <t>BRINCO ARGOLA RETORCIDA PEQUENO</t>
  </si>
  <si>
    <t>BRINCO COM AROS VAZADOS E ZIRCONIA</t>
  </si>
  <si>
    <t>BRINCO ARGOLA GROSSA</t>
  </si>
  <si>
    <t>BRINCO ARGOLA TORCIDA</t>
  </si>
  <si>
    <t>BRINCO MÉDIO GOTA OVAL VAZADA COM PÊNDULO</t>
  </si>
  <si>
    <t>TRIO DE ARGOLAS GROSSAS CRAVEJADAS EM ZIRCONIAS COLORIDAS</t>
  </si>
  <si>
    <t>BRINCO GOTINHA TRABALHADA COM ZIRCONIA AQUA</t>
  </si>
  <si>
    <t>BRINCO ARGOLA GRANDE</t>
  </si>
  <si>
    <t>BRINCO PEQUENO FORMATO CORAÇÃO ROSA</t>
  </si>
  <si>
    <t>BRINCO CORAÇÃO ESMERALDA VERDE</t>
  </si>
  <si>
    <t>BRINCO FORMATO GOTA AMENTISTA</t>
  </si>
  <si>
    <t>BRINCO FLOR COM PEDRINHAS DE ZIRCONIA</t>
  </si>
  <si>
    <t>BRINCO FORMATO FOLHA</t>
  </si>
  <si>
    <t>BRINCO FORMATO VIRGULA</t>
  </si>
  <si>
    <t>BRINCO ARGOLA TRABALHADO</t>
  </si>
  <si>
    <t>BRINCO PEQUENO FORMATO DE FLOR VAZADO</t>
  </si>
  <si>
    <t>BRINCO CORAÇÃO COM GOTA DE ZIRCONIA</t>
  </si>
  <si>
    <t>BRINCO ARGOLA VAZADINHO FRANCÊS</t>
  </si>
  <si>
    <t>BRINCO TREVO DE QUATRO FOLHAS EM ZIRCONIA</t>
  </si>
  <si>
    <t>BRINCO PINGENTE CORAÇÃO</t>
  </si>
  <si>
    <t>BRINCO ARGOLINHA COM PEROLA</t>
  </si>
  <si>
    <t>BRINCO ARGOLA COM GOTA PEQUENA PONTO DE LUZ</t>
  </si>
  <si>
    <t>BRINCO TRIPLO ZIRCONIA FORMATO ESTRELA</t>
  </si>
  <si>
    <t>BRINCO ARGOLA RETORCIDA</t>
  </si>
  <si>
    <t>BRINCO EM FORMATO DE FLOR ZIRCONIA ROSA NO MEIO</t>
  </si>
  <si>
    <t>BRINCO FORMATO BORBOLETA (G)</t>
  </si>
  <si>
    <t>1045218D</t>
  </si>
  <si>
    <t>DUPLA BRINCO FORMATO BORBOLETA</t>
  </si>
  <si>
    <t>TRIO DE BRINCOS FORMATO DE FLOR COM ZIRCONIAS VERDE</t>
  </si>
  <si>
    <t>TRIO DE BRINCOS FORMATO DE FLOR COM ZIRCONIAS ROSA</t>
  </si>
  <si>
    <t>BRINCO ENTRELAÇADAS</t>
  </si>
  <si>
    <t>TRIO 2 CORAÇÕES E FLOR COM ZIRCONIA</t>
  </si>
  <si>
    <t>BRINCO PEROLA FORMATO DE GOTA MÉDIO</t>
  </si>
  <si>
    <t>TRIO DE BRINCOS QUADRADO COM ZIRCONIA</t>
  </si>
  <si>
    <t>TRIO DE BRINCOS</t>
  </si>
  <si>
    <t>BRINCO FORMATO ESTRELA</t>
  </si>
  <si>
    <t>DUPLA BRINCOS FORMATO REDNDO COM ZIRCONIAS</t>
  </si>
  <si>
    <t>TRIO DE BRINCOS FORMATO CORAÇÃO CRAVEJADOS</t>
  </si>
  <si>
    <t>TRIO BRINCOS REDONDO COM ZIRCONIA VERDE NO MEIO E PEQUENAS AO REDOR</t>
  </si>
  <si>
    <t>GARGANTILHA CORAÇÃO E BOLINHAS 60CM</t>
  </si>
  <si>
    <t>GARGANTILHA PONTINHOS DE LUZ</t>
  </si>
  <si>
    <t>GARGANTILHA PEROLAS 30CM</t>
  </si>
  <si>
    <t>GARGANTILHA COM ELOS DE CORAÇÃO 30CM</t>
  </si>
  <si>
    <t>GARGANTILHA CORAÇÃO</t>
  </si>
  <si>
    <t>RIVIÉRA 45CM</t>
  </si>
  <si>
    <t>GARGANTILHA</t>
  </si>
  <si>
    <t>GARGANTILHA ABENÇOADA</t>
  </si>
  <si>
    <t>GARGANTILHA PROTEGIDA</t>
  </si>
  <si>
    <t>GARGANTILHA CORAÇÃO PEDRAS ROCHAS</t>
  </si>
  <si>
    <t>GARGANTILHA PEROLAS</t>
  </si>
  <si>
    <t>GARGANTILHA RIVIERA</t>
  </si>
  <si>
    <t>GARGANTILHA COM PEDRAS COLORIDAS</t>
  </si>
  <si>
    <t>GARGANTILHA COM ZIRCONIAS</t>
  </si>
  <si>
    <t>GARGANTILHA COM GOTAS DE CRISAL</t>
  </si>
  <si>
    <t>12011732P</t>
  </si>
  <si>
    <t>PINGENTE LAÇO</t>
  </si>
  <si>
    <t>GARGANTILHA ELO CORAÇÃO</t>
  </si>
  <si>
    <t>12012314-C</t>
  </si>
  <si>
    <t>CORRENTE COM PINGENTE  INFINITO</t>
  </si>
  <si>
    <t>PINGENTE ARVORE DA VIDA</t>
  </si>
  <si>
    <t>12012358-C</t>
  </si>
  <si>
    <t>CORRENTE COM PINGENTE  ARVORE DA VIDA</t>
  </si>
  <si>
    <t>BRACELETE BOLINHAS COM ESTRELA E PEQUENAS PEDRINHAS DE ZIRCONIA</t>
  </si>
  <si>
    <t>BRACELETE LISO</t>
  </si>
  <si>
    <t>BRACELETE COM PONTOS DE ZIRCONIA NAS PONTAS</t>
  </si>
  <si>
    <t>BRACELETE</t>
  </si>
  <si>
    <t>BRACELETE COM NÓ</t>
  </si>
  <si>
    <t>BRACELETE CORAÇÃO EM ZIRCONIA CENTRALIZADO</t>
  </si>
  <si>
    <t>BRACELETE CORAÇÃO E PONTO DE LUZ</t>
  </si>
  <si>
    <t>2012434-C</t>
  </si>
  <si>
    <t>CORRENTE COM PINGENTE  POMBA DA PAZ C/ ZIRCONIA NAS AZAS</t>
  </si>
  <si>
    <t>2012904-C</t>
  </si>
  <si>
    <t>CORRENTE COM PINGENTE  URSINHO COM PEDRINHAS</t>
  </si>
  <si>
    <t>PINGENTE URSINHO COM ZIRCONIA E PEDRA NO FORMATO DE FLOR ROSA</t>
  </si>
  <si>
    <t>2013148-C</t>
  </si>
  <si>
    <t>CORRENTE COM PINGENTE  URSINHO COM ZIRCONIA E PEDRA NO FORMATO DE FLOR ROSA</t>
  </si>
  <si>
    <t>PULSEIRA</t>
  </si>
  <si>
    <t>PULSEIRA CORDAO BAHIANO</t>
  </si>
  <si>
    <t>PULSEIRA FORMATO CORAÇÃO</t>
  </si>
  <si>
    <t>PULSEIRA COM ZIRCONIAS COLORIDAS</t>
  </si>
  <si>
    <t>PULSEIRA COM PEROLAS</t>
  </si>
  <si>
    <t>PULSEIRA COM ZIRCONIAS</t>
  </si>
  <si>
    <t>PULSEIRA COM PONTINHOS DE ZIRCONIA EM TODA PEÇA</t>
  </si>
  <si>
    <t>PULSEIRA ELOS DOBRADOS</t>
  </si>
  <si>
    <t>PULSEIRA RIVIERA PEDRAS GRANDE</t>
  </si>
  <si>
    <t>PULSEIRA RIVIERA 16CM CORAÇÃO</t>
  </si>
  <si>
    <t>PULSEIRA VINTAGE COM ZIRCONIA</t>
  </si>
  <si>
    <t>CORRENTE MODELO SNAKE 45CM</t>
  </si>
  <si>
    <t>CORDÃO BAIANO 45CM 2MM</t>
  </si>
  <si>
    <t>CORDÃO BAIANO 45CM 4MM</t>
  </si>
  <si>
    <t>CORRENTE MODELO SNAKE 30CM</t>
  </si>
  <si>
    <t>CORRENTE PEROLAS</t>
  </si>
  <si>
    <t>CORRENTE CORAÇÕES EM DETALHE</t>
  </si>
  <si>
    <t>RIVIÉRA 40CM</t>
  </si>
  <si>
    <t>CORRENTE MALHA SNAKE 45CM</t>
  </si>
  <si>
    <t>CORRENTE VENEZIANA</t>
  </si>
  <si>
    <t>CORRENTE MONTADA COM PEROLAS</t>
  </si>
  <si>
    <t>COLAR PEDRA PEDRA</t>
  </si>
  <si>
    <t>58002086B</t>
  </si>
  <si>
    <t>BRINCO PEDRA PRETA</t>
  </si>
  <si>
    <t>COLAR PEDRA TRANSPARENTE</t>
  </si>
  <si>
    <t>58002088B</t>
  </si>
  <si>
    <t>BRINCO PEDRA TRANSPARENTE</t>
  </si>
  <si>
    <t>COLAR PEDRA VERDE</t>
  </si>
  <si>
    <t>58002089B</t>
  </si>
  <si>
    <t>BRINCO PEDRA VERDE</t>
  </si>
  <si>
    <t>COLAR PEDRA ROSA</t>
  </si>
  <si>
    <t>58002090B</t>
  </si>
  <si>
    <t>BRINCO PEDRA ROSA</t>
  </si>
  <si>
    <t>PINGENTE FLOR EM PEDRAS</t>
  </si>
  <si>
    <t>58002100B</t>
  </si>
  <si>
    <t>BRINCO FLOR EM PEDRAS</t>
  </si>
  <si>
    <t>58002100-C</t>
  </si>
  <si>
    <t>CORRENTE COM PINGENTE  FLOR EM PEDRAS</t>
  </si>
  <si>
    <t>58002113B</t>
  </si>
  <si>
    <t>BRINCO GOTA AQUA</t>
  </si>
  <si>
    <t>58002113P</t>
  </si>
  <si>
    <t>PINGENTE GOTA AQUA</t>
  </si>
  <si>
    <t>58002113-C</t>
  </si>
  <si>
    <t>CORRENTE COM PINGENTE GOTA AQUA</t>
  </si>
  <si>
    <t>COLAR FORMATO CORAÇÃO EM ZIRCONIA</t>
  </si>
  <si>
    <t>58002116B</t>
  </si>
  <si>
    <t>BRINCO CORAÇÃO EM FORMATO ZIRCONIA</t>
  </si>
  <si>
    <t>PINGENTE CORAÇÃO</t>
  </si>
  <si>
    <t>58002127B</t>
  </si>
  <si>
    <t>58002127-C</t>
  </si>
  <si>
    <t>CORRENTE COM PINGENTE  CORAÇÃO</t>
  </si>
  <si>
    <t>ESCAPULÁRIO</t>
  </si>
  <si>
    <t>ESCAPULÁRIO CORAÇÃO COM ZIRCONIAS</t>
  </si>
  <si>
    <t>ESCAPULÁRIO ORAÇÕES</t>
  </si>
  <si>
    <t>PIERCING DETALHES CONCHA</t>
  </si>
  <si>
    <t>COLAR 70CM COM PONTOS DE LUZ</t>
  </si>
  <si>
    <t>ANEL COM ZIRCONIAS</t>
  </si>
  <si>
    <t>ANEL</t>
  </si>
  <si>
    <t>ANEL COM ZIRCONIAS E CORAÇÃO</t>
  </si>
  <si>
    <t>ANEL ESTRELA VAZADA</t>
  </si>
  <si>
    <t>ANEL CORAÇÕES E ZIRCONIA</t>
  </si>
  <si>
    <t>ANEL PINGENTE CORAÇÃO</t>
  </si>
  <si>
    <t>ANEL CORAÇÃO EM ZIRCONIAS</t>
  </si>
  <si>
    <t>ANEL CORAÇÃO</t>
  </si>
  <si>
    <t>ANEL CORAÇÃO CENTRO ZIRCONIAS</t>
  </si>
  <si>
    <t>ANEL COM PEROLA</t>
  </si>
  <si>
    <t>ANEL DUPLO</t>
  </si>
  <si>
    <t>ANA-030</t>
  </si>
  <si>
    <t>ANEL COM ZIRCONIAS COLORIDAS</t>
  </si>
  <si>
    <t>ANC-015</t>
  </si>
  <si>
    <t>ANEL FILHOS CASAL</t>
  </si>
  <si>
    <t>ANC-030</t>
  </si>
  <si>
    <t>ANEL CASAL DE FILHOS</t>
  </si>
  <si>
    <t>ANC-031</t>
  </si>
  <si>
    <t>ANEL MENINO ENTRE CORAÇÕES</t>
  </si>
  <si>
    <t>ANC-032</t>
  </si>
  <si>
    <t>ANEL MENINA ENTRE CORAÇÕES</t>
  </si>
  <si>
    <t>ANC-033</t>
  </si>
  <si>
    <t>ANEL DUAS MENINAS</t>
  </si>
  <si>
    <t>ANC-034</t>
  </si>
  <si>
    <t>ANEL DOIS MENINOS</t>
  </si>
  <si>
    <t>ANE-127</t>
  </si>
  <si>
    <t>ANEL ESCRITA TUDO POSSO NAQUELE QUE ME FORTALECE</t>
  </si>
  <si>
    <t>ANE-210</t>
  </si>
  <si>
    <t>ANEL TRIO DE CORAÇÕES</t>
  </si>
  <si>
    <t>ANE-259</t>
  </si>
  <si>
    <t>ANEL TRIO DE CORAÇÕES INTERIOR</t>
  </si>
  <si>
    <t>ANE-265</t>
  </si>
  <si>
    <t>ANJ-012</t>
  </si>
  <si>
    <t>ANEL VAZADO ESCRITA JESUS</t>
  </si>
  <si>
    <t>ANZ-097</t>
  </si>
  <si>
    <t>ANZ-109</t>
  </si>
  <si>
    <t>ANEL CORAÇÃO COM ZIRCONIAS</t>
  </si>
  <si>
    <t>ANZ-165</t>
  </si>
  <si>
    <t>ANZ-206</t>
  </si>
  <si>
    <t>ANZ-213</t>
  </si>
  <si>
    <t>ANEL FÉ</t>
  </si>
  <si>
    <t>ANZ-251</t>
  </si>
  <si>
    <t>ANEL CORAÇÃO VAZADO COM ZIRCONIA</t>
  </si>
  <si>
    <t>ANZ-371</t>
  </si>
  <si>
    <t>BR01738</t>
  </si>
  <si>
    <t>BRINCO COM CORAÇÕES EM PINGENTINHO E ZIRCONIAS</t>
  </si>
  <si>
    <t>BR01741</t>
  </si>
  <si>
    <t>BRINCO TRES ZIRCONIAS COLORIDAS</t>
  </si>
  <si>
    <t>BR02183</t>
  </si>
  <si>
    <t>BRINCO LACINHO CRAVADO EM ZIRCONIA</t>
  </si>
  <si>
    <t>BR04249</t>
  </si>
  <si>
    <t>BRINCO ARGOLA TEXTURIZADO CHUVISCO MÉDIO</t>
  </si>
  <si>
    <t>BR04290</t>
  </si>
  <si>
    <t>BRINCO ARGOLA TEXTURIZADO CHUVISCO GRANDE</t>
  </si>
  <si>
    <t>BR04517</t>
  </si>
  <si>
    <t>BRINCO COM PINGENTE DE CRUZ</t>
  </si>
  <si>
    <t>BR04531</t>
  </si>
  <si>
    <t>BRINCO GOTA DE ZIRCONIA</t>
  </si>
  <si>
    <t>BR04844</t>
  </si>
  <si>
    <t>BRINCO CORRENTE FÉ</t>
  </si>
  <si>
    <t>BR05510</t>
  </si>
  <si>
    <t>BRINCO ARGOLINHA CORAÇÃO CADEADO</t>
  </si>
  <si>
    <t>BR05924</t>
  </si>
  <si>
    <t>BRINCO ARGOLINHA EM FORMATO CORAÇÃO</t>
  </si>
  <si>
    <t>BR06069</t>
  </si>
  <si>
    <t>BR06277</t>
  </si>
  <si>
    <t>TRIO DE BRINCOS CORAÇÃO CRUZ E COROA</t>
  </si>
  <si>
    <t>BR06316</t>
  </si>
  <si>
    <t>BRINCO TRIO PONTO DE ZIRCONIA EM FORMATO DE ESTRELA</t>
  </si>
  <si>
    <t>BR06321</t>
  </si>
  <si>
    <t>TRIO DE BRINCOS PONTINHOS DE LUZ</t>
  </si>
  <si>
    <t>BR06324</t>
  </si>
  <si>
    <t>TRIO CORAÇÃO MAIS PONTO DE ZIRCONIA</t>
  </si>
  <si>
    <t>BR06327</t>
  </si>
  <si>
    <t>TRIO DE BRINCOS TRIANGULO COM TRIANGULO EM ZIRCONIA</t>
  </si>
  <si>
    <t>BR06339</t>
  </si>
  <si>
    <t>TRIO DE BRINCOS FORMATO CRUZ</t>
  </si>
  <si>
    <t>BR06349</t>
  </si>
  <si>
    <t>DUPLA DE BRINCOS CHAVE CORAÇÃO</t>
  </si>
  <si>
    <t>BR06349A</t>
  </si>
  <si>
    <t>BRINCOS INFINITO</t>
  </si>
  <si>
    <t>BR06468</t>
  </si>
  <si>
    <t>BRINCO CORAÇÃO VAZADO COM PEQUENAS ZIRCONIAS PENDURADAS</t>
  </si>
  <si>
    <t>BR06493</t>
  </si>
  <si>
    <t>BRINCO DUPLA CORAÇÃO LISO E ZIRCONIA FORMATO CORAÇÃO</t>
  </si>
  <si>
    <t>BR06933</t>
  </si>
  <si>
    <t>BRINCO CORAÇÃO CRAVEJADO COM ZIRCONIAS COLORIDAS</t>
  </si>
  <si>
    <t>BR06935</t>
  </si>
  <si>
    <t>BRINCO REDONDO PIZZA ZIRCONIAS</t>
  </si>
  <si>
    <t>BR06950</t>
  </si>
  <si>
    <t>BRINCO FORMATO V GRANDE</t>
  </si>
  <si>
    <t>BR06956</t>
  </si>
  <si>
    <t>BRINCO FORMATO V PEQUENO</t>
  </si>
  <si>
    <t>BR07031</t>
  </si>
  <si>
    <t>BRINCO ARGOLA DE VENUZ</t>
  </si>
  <si>
    <t>BR07186</t>
  </si>
  <si>
    <t>BRINCO DESIGN PIZZA CRAVEJADO COM ZIRCONIAS COLORIDAS</t>
  </si>
  <si>
    <t>BR07388</t>
  </si>
  <si>
    <t>BRINCO ARGOLA COM PEDRAS COLORIDAS</t>
  </si>
  <si>
    <t>BR07433</t>
  </si>
  <si>
    <t>BRINCO CORAÇÃO ORGANICO GRANDE</t>
  </si>
  <si>
    <t>BR07434</t>
  </si>
  <si>
    <t>BRINCO TRIO DE BOLAS</t>
  </si>
  <si>
    <t>BR07539</t>
  </si>
  <si>
    <t>BRINCO ARGOLA ORGANICO</t>
  </si>
  <si>
    <t>BR07705</t>
  </si>
  <si>
    <t>BRINCO LAÇO GRANDE</t>
  </si>
  <si>
    <t>BR07825</t>
  </si>
  <si>
    <t>BRINCO FORMATO FLOR LISO</t>
  </si>
  <si>
    <t>BR07858</t>
  </si>
  <si>
    <t>TRIO DE BRINCOS ARGOLAS DETALHADAS</t>
  </si>
  <si>
    <t>BR07891</t>
  </si>
  <si>
    <t>BRINCO FORMATO FLOR ORGANICO</t>
  </si>
  <si>
    <t>BR07892</t>
  </si>
  <si>
    <t>BRINCO FOLHA ORGANICO</t>
  </si>
  <si>
    <t>BR07988</t>
  </si>
  <si>
    <t>BRINCO CORAÇÃO ORGANICO MÉDIO</t>
  </si>
  <si>
    <t>BR08198</t>
  </si>
  <si>
    <t>BRINCO FORMATO RETANGULAR</t>
  </si>
  <si>
    <t>BR08273</t>
  </si>
  <si>
    <t>BRINCO FLOR ORGANICO</t>
  </si>
  <si>
    <t>BR08280</t>
  </si>
  <si>
    <t>BRINCO ARGOLA OCA TEXTURIZADO</t>
  </si>
  <si>
    <t>BR08324</t>
  </si>
  <si>
    <t>BRINCO FORMATO ORGÂNICO</t>
  </si>
  <si>
    <t>BR08339</t>
  </si>
  <si>
    <t>BRINCO OVAL ORGANICO</t>
  </si>
  <si>
    <t>BR08393</t>
  </si>
  <si>
    <t>BRINCO ORGANICO</t>
  </si>
  <si>
    <t>BR08470</t>
  </si>
  <si>
    <t>BRINCO DUPLA CORAÇÃO</t>
  </si>
  <si>
    <t>BR08520</t>
  </si>
  <si>
    <t>BRINCO FORMATO ORGANICO</t>
  </si>
  <si>
    <t>BR08575</t>
  </si>
  <si>
    <t>BR08576</t>
  </si>
  <si>
    <t>BR08592</t>
  </si>
  <si>
    <t>BRINCO CORAÇÃO DE PEROLA</t>
  </si>
  <si>
    <t>BR08600</t>
  </si>
  <si>
    <t>BR08609</t>
  </si>
  <si>
    <t>BRINCO ASAS ORGANICO</t>
  </si>
  <si>
    <t>BR08610</t>
  </si>
  <si>
    <t>BRINCO MEIA LUA ORGANICO</t>
  </si>
  <si>
    <t>BR08611</t>
  </si>
  <si>
    <t>BRINCO ARGOLA FORMATO DE FOLHA</t>
  </si>
  <si>
    <t>BR08623</t>
  </si>
  <si>
    <t>BR08651</t>
  </si>
  <si>
    <t>BRINCO FORMATO ESCUDO TRIANGULAR</t>
  </si>
  <si>
    <t>BR08678</t>
  </si>
  <si>
    <t>BRINCO CORAÇÃO CRAVEJADO COM ZIRCONIAS</t>
  </si>
  <si>
    <t>BR08688</t>
  </si>
  <si>
    <t>BR08804</t>
  </si>
  <si>
    <t>BRINCO FORMATO CORAÇÃO CENTRO CRAVEJADO COM ZIRCONIAS</t>
  </si>
  <si>
    <t>BR08841</t>
  </si>
  <si>
    <t>BRINCO FORMATO GOTA PEROLA</t>
  </si>
  <si>
    <t>BR08842</t>
  </si>
  <si>
    <t>BRINCO FORMATO TREVO PEROLA MÉDIA</t>
  </si>
  <si>
    <t>BR08843</t>
  </si>
  <si>
    <t>BRINCO FORMATO TREVO PEROLA PEQUENA</t>
  </si>
  <si>
    <t>BR8420</t>
  </si>
  <si>
    <t>CK01412</t>
  </si>
  <si>
    <t>COLAR</t>
  </si>
  <si>
    <t>CKN00426</t>
  </si>
  <si>
    <t>CL01009</t>
  </si>
  <si>
    <t>COLAR CORAÇÃO</t>
  </si>
  <si>
    <t>CL01547</t>
  </si>
  <si>
    <t>CL01734</t>
  </si>
  <si>
    <t>CL01748</t>
  </si>
  <si>
    <t>CL01928</t>
  </si>
  <si>
    <t>CL01992</t>
  </si>
  <si>
    <t>COLAR BOLINHAS</t>
  </si>
  <si>
    <t>PG00344</t>
  </si>
  <si>
    <t>PINGENTE PONTO DE LUZ QUADRARO</t>
  </si>
  <si>
    <t>PG00344-C</t>
  </si>
  <si>
    <t>CORRENTE COM PINGENTE  PONTO DE LUZ QUADRARO</t>
  </si>
  <si>
    <t>PG00364</t>
  </si>
  <si>
    <t>PINGENTE PONTO DE LUZ</t>
  </si>
  <si>
    <t>PG00364-C</t>
  </si>
  <si>
    <t>CORRENTE COM PINGENTE  PONTO DE LUZ</t>
  </si>
  <si>
    <t>PG0039</t>
  </si>
  <si>
    <t>PINGENTE POMBA DA PAZ</t>
  </si>
  <si>
    <t>PG0039-C</t>
  </si>
  <si>
    <t>CORRENTE COM PINGENTE  POMBA DA PAZ</t>
  </si>
  <si>
    <t>PG00431</t>
  </si>
  <si>
    <t>PINGENTE</t>
  </si>
  <si>
    <t>PG00431-C</t>
  </si>
  <si>
    <t>CORRENTE COM PINGENTE  GOTA TURQUESA</t>
  </si>
  <si>
    <t>PG00440</t>
  </si>
  <si>
    <t>PINGENTE ZIRCONA FORMATO OVAL</t>
  </si>
  <si>
    <t>PG00440-C</t>
  </si>
  <si>
    <t>CORRENTE COM PINGENTE  ZIRCONA FORMATO OVAL</t>
  </si>
  <si>
    <t>PG00524</t>
  </si>
  <si>
    <t>PINGENTE CORAÇÃO PARA FOTO</t>
  </si>
  <si>
    <t>PG00524-C</t>
  </si>
  <si>
    <t>CORRENTE COM PINGENTE  CORAÇÃO PARA FOTO</t>
  </si>
  <si>
    <t>PG00572</t>
  </si>
  <si>
    <t>PINGENTE MENINO COM DETALHES EM ZIRCONIA</t>
  </si>
  <si>
    <t>PG00572-C</t>
  </si>
  <si>
    <t>CORRENTE COM PINGENTE  MENINO COM DETALHES EM ZIRCONIA</t>
  </si>
  <si>
    <t>PG00614</t>
  </si>
  <si>
    <t>PINGENTE MENINA COM CORAÇÃO NA MÃO</t>
  </si>
  <si>
    <t>PG00614-C</t>
  </si>
  <si>
    <t>CORRENTE COM PINGENTE  MENINA COM CORAÇÃO NA MÃO</t>
  </si>
  <si>
    <t>PG00872</t>
  </si>
  <si>
    <t>PINGENTE PONTO ZIRCONIA</t>
  </si>
  <si>
    <t>PG00872-C</t>
  </si>
  <si>
    <t>CORRENTE COM PINGENTE  PONTO ZIRCONIA</t>
  </si>
  <si>
    <t>PG00878</t>
  </si>
  <si>
    <t>PINGENTE CORAÇÃO MÃE</t>
  </si>
  <si>
    <t>PG00878-C</t>
  </si>
  <si>
    <t>CORRENTE COM PINGENTE  CORAÇÃO MÃE</t>
  </si>
  <si>
    <t>PG00921</t>
  </si>
  <si>
    <t>PINGENTE CORAÇÃO LOVE C/ ZIRCONIA</t>
  </si>
  <si>
    <t>PG00921-C</t>
  </si>
  <si>
    <t>CORRENTE COM PINGENTE  CORAÇÃO LOVE C/ ZIRCONIA</t>
  </si>
  <si>
    <t>PG00934</t>
  </si>
  <si>
    <t>PINGENTE MENINA C/ ZIRCONIA NO VESTIDO</t>
  </si>
  <si>
    <t>PG00934-C</t>
  </si>
  <si>
    <t>CORRENTE COM PINGENTE  MENINA C/ ZIRCONIA NO VESTIDO</t>
  </si>
  <si>
    <t>PG00941</t>
  </si>
  <si>
    <t>PINGENTE DOIS MENINOS ZIRCONIA NO MEIO</t>
  </si>
  <si>
    <t>PG00941-C</t>
  </si>
  <si>
    <t>CORRENTE COM PINGENTE  DOIS MENINOS ZIRCONIA NO MEIO</t>
  </si>
  <si>
    <t>PG00943</t>
  </si>
  <si>
    <t>PG00943-C</t>
  </si>
  <si>
    <t>PG0106</t>
  </si>
  <si>
    <t>PINGENTE PONTO DE LUZ PEQUENO</t>
  </si>
  <si>
    <t>PG0106-C</t>
  </si>
  <si>
    <t>CORRENTE COM PINGENTE  PONTO DE LUZ PEQUENO</t>
  </si>
  <si>
    <t>PG0109</t>
  </si>
  <si>
    <t>PINGENTE PONTINHO DE LUZ ZIRCONIA MEDIA</t>
  </si>
  <si>
    <t>PG0109-C</t>
  </si>
  <si>
    <t>CORRENTE COM PINGENTE  PONTINHO DE LUZ ZIRCONIA MEDIA</t>
  </si>
  <si>
    <t>PG01127</t>
  </si>
  <si>
    <t>PINGENTE CORAÇÃO COM ZIRCONIA VAZADO</t>
  </si>
  <si>
    <t>PG01127-C</t>
  </si>
  <si>
    <t>CORRENTE COM PINGENTE  CORAÇÃO COM ZIRCONIA VAZADO</t>
  </si>
  <si>
    <t>PG0124</t>
  </si>
  <si>
    <t>PINGENTE CORAÇÃO ESCRITA FÉ</t>
  </si>
  <si>
    <t>PG0124-C</t>
  </si>
  <si>
    <t>CORRENTE COM PINGENTE  CORAÇÃO ESCRITA FÉ</t>
  </si>
  <si>
    <t>PG0330</t>
  </si>
  <si>
    <t>PINGENTE PONTINHO DE LUZ ZIRCONIA PEQUENA</t>
  </si>
  <si>
    <t>PG0330-C</t>
  </si>
  <si>
    <t>CORRENTE COM PINGENTE  PONTINHO DE LUZ ZIRCONIA PEQUENA</t>
  </si>
  <si>
    <t>PG0529</t>
  </si>
  <si>
    <t>PINGENTE CASAL FILHOS C/ PEDRINHA NO MEIO</t>
  </si>
  <si>
    <t>PG0529-C</t>
  </si>
  <si>
    <t>CORRENTE COM PINGENTE  CASAL FILHOS C/ PEDRINHA NO MEIO</t>
  </si>
  <si>
    <t>PG0613</t>
  </si>
  <si>
    <t>PINGENTE MENINO COM CORAÇÃO NA MÃO</t>
  </si>
  <si>
    <t>PG0613-C</t>
  </si>
  <si>
    <t>CORRENTE COM PINGENTE  MENINO COM CORAÇÃO NA MÃO</t>
  </si>
  <si>
    <t>PG0793</t>
  </si>
  <si>
    <t>PINGENTE CORAÇÃO VAZADO ZIRCONIA NO CENTRO</t>
  </si>
  <si>
    <t>PG0793-C</t>
  </si>
  <si>
    <t>CORRENTE COM PINGENTE  CORAÇÃO VAZADO ZIRCONIA NO CENTRO</t>
  </si>
  <si>
    <t>PG0942</t>
  </si>
  <si>
    <t>PINGENTE DUAS MENINAS ZIRCONIA NO CENTRO</t>
  </si>
  <si>
    <t>PG0942-C</t>
  </si>
  <si>
    <t>CORRENTE COM PINGENTE  DUAS MENINAS ZIRCONIA NO CENTRO</t>
  </si>
  <si>
    <t>PG0992</t>
  </si>
  <si>
    <t>PG0992-C</t>
  </si>
  <si>
    <t>PL01002</t>
  </si>
  <si>
    <t>PL01574</t>
  </si>
  <si>
    <t>PULSEIRA CORAÇÕES</t>
  </si>
  <si>
    <t>PL04327</t>
  </si>
  <si>
    <t>PL04390</t>
  </si>
  <si>
    <t>PL04832</t>
  </si>
  <si>
    <t>09472/17</t>
  </si>
  <si>
    <t>Anel de prata 925 infinitos e corações cravejados (Ref. A86-2) - Tamanho do anel 1,72cm=17</t>
  </si>
  <si>
    <t>09472/19</t>
  </si>
  <si>
    <t>Anel de prata 925 infinitos e corações cravejados (Ref. A86-2) - Tamanho do anel 1,80cm=19</t>
  </si>
  <si>
    <t>09472/21</t>
  </si>
  <si>
    <t>Anel de prata 925 infinitos e corações cravejados (Ref. A86-2) - Tamanho do anel 1,88cm=21</t>
  </si>
  <si>
    <t>09608/20</t>
  </si>
  <si>
    <t>Anel de prata 925 cravejado com pedra 2mm (Ref. A97-1) - Tamanho do anel 1,85cm=20</t>
  </si>
  <si>
    <t>10051/15</t>
  </si>
  <si>
    <t>Anel de prata 925 aparador de aliança cravejado e zirconia (Ref. A119-2) - Tamanho do anel 1,70cm=15</t>
  </si>
  <si>
    <t>10051/19</t>
  </si>
  <si>
    <t>Anel de prata 925 aparador de aliança cravejado e zirconia (Ref. A119-2) - Tamanho do anel 1,80cm=19</t>
  </si>
  <si>
    <t>10051/22</t>
  </si>
  <si>
    <t>Anel de prata 925 aparador de aliança cravejado e zirconia (Ref. A119-2) - Tamanho do anel 1,90cm=22</t>
  </si>
  <si>
    <t>105829//N</t>
  </si>
  <si>
    <t>Anel de prata 925 com corações vazados (Ref. A32-2) - Tamanho do anel 1,65cm=14</t>
  </si>
  <si>
    <t>105ARGOLA/N</t>
  </si>
  <si>
    <t xml:space="preserve">Argola de prata 925 gota fio quadrado 2cm 1gr (Ref. I4-3) </t>
  </si>
  <si>
    <t>106990/21</t>
  </si>
  <si>
    <t>Anel de prata 925 detalhado cravejado (Ref. A89-1) - Tamanho do anel 1,88cm=21</t>
  </si>
  <si>
    <t>107178/17</t>
  </si>
  <si>
    <t>Anel de prata 925 corações vazados entrelaçados (Ref. A52-1) - Tamanho do anel 1,72cm=17</t>
  </si>
  <si>
    <t>107178/22</t>
  </si>
  <si>
    <t>Anel de prata 925 corações vazados entrelaçados (Ref. A52-1) - Tamanho do anel 1,90cm=22</t>
  </si>
  <si>
    <t>1450F02040CM</t>
  </si>
  <si>
    <t>Corrente de prata 925 singapura 050 (Ref. F67-2) - Tamanho 40cm</t>
  </si>
  <si>
    <t>258ARGOLA</t>
  </si>
  <si>
    <t>Argolas pequenas de prata 925 redonda fio redondo (Ref. I1-1) - Tamanho 1cm</t>
  </si>
  <si>
    <t>426ARGOLA</t>
  </si>
  <si>
    <t>Argolas pequenas de prata 925 redonda fio redondo (Ref. I1-2) - Tamanho 1,5cm</t>
  </si>
  <si>
    <t>2603/N</t>
  </si>
  <si>
    <t>Trio de brincos de prata 925 bola/bolinha - 3 tamanhos (Ref. T2-1)</t>
  </si>
  <si>
    <t>2620/N</t>
  </si>
  <si>
    <t>Trio de brincos de prata 925 3 corações (Ref. T17-2)</t>
  </si>
  <si>
    <t>2722//N</t>
  </si>
  <si>
    <t>Brinco de prata 925 cobra rastejando chapinha (Ref. L15-3)</t>
  </si>
  <si>
    <t>2809C/N</t>
  </si>
  <si>
    <t>Trio de brincos de prata 925 gotas brancas - 3 tamanhos (Ref. T8-1)</t>
  </si>
  <si>
    <t>310616/16</t>
  </si>
  <si>
    <t>Anel de prata 925 mini corações liso deitado (Ref. A75-1) - Tamanho do anel 1,71cm=16</t>
  </si>
  <si>
    <t>310616/18</t>
  </si>
  <si>
    <t>Anel de prata 925 mini corações liso deitado (Ref. A75-1) - Tamanho do anel 1,75cm=18</t>
  </si>
  <si>
    <t>310616/20</t>
  </si>
  <si>
    <t>Anel de prata 925 mini corações liso deitado (Ref. A75-1) - Tamanho do anel 1,85cm=20</t>
  </si>
  <si>
    <t>310616/22</t>
  </si>
  <si>
    <t>Anel de prata 925 mini corações liso deitado (Ref. A75-1) - Tamanho do anel 1,90cm=22</t>
  </si>
  <si>
    <t>320190//N</t>
  </si>
  <si>
    <t>Brinco de prata 925 redondo cravejado com zirconia (Ref. L44-4)</t>
  </si>
  <si>
    <t>363ARGOLA/N</t>
  </si>
  <si>
    <t>Argola de prata 925 fio torcido 2cm 1,1g (Ref. I44-3)</t>
  </si>
  <si>
    <t>398ARGOLA/N</t>
  </si>
  <si>
    <t>Argola de prata 925 com tarracha mini corações em prata 925 (Ref. I35-1) - Tamanho M 1,8cm</t>
  </si>
  <si>
    <t>44ARGOLA/N</t>
  </si>
  <si>
    <t>Argola de prata 925 fio torcido coração 2cm 1,2g (Ref. I40-3)</t>
  </si>
  <si>
    <t>5003ARGTRIO//N</t>
  </si>
  <si>
    <t>Trio de argolas de prata 925 redonda fio redondo (Ref. T2-3)</t>
  </si>
  <si>
    <t>7234F04045CM/N</t>
  </si>
  <si>
    <t>Corrente de prata 925 elo coração catena 040 (Ref. F67-4) - Tamanho 40cm</t>
  </si>
  <si>
    <t>Corrente de prata 925 ponto de luz quadrado 5mm fio silicone (Ref. F61-2)</t>
  </si>
  <si>
    <t>853/2N</t>
  </si>
  <si>
    <t>Corrente de prata 925 ponto de luz coração 6mm fio nylon (Ref. F68-2)</t>
  </si>
  <si>
    <t>Brinco de prata 925 diamante p (Ref. L19-2)</t>
  </si>
  <si>
    <t>Brinco de prata 925 coração vazado (Ref. L28-4) - Tamanho G</t>
  </si>
  <si>
    <t>BR1488/L201</t>
  </si>
  <si>
    <t>Brinco de prata 925 gota abaulada (Ref. L20-1) - Tamanho 1,3cm</t>
  </si>
  <si>
    <t>BR1488/L901</t>
  </si>
  <si>
    <t>Brinco de prata 925 gota abaulada (Ref. L9-1) - Tamanho 1,4cm</t>
  </si>
  <si>
    <t>BRC118</t>
  </si>
  <si>
    <t>Brinco de prata 925 borboleta origami 8mm (Ref. L2-1)</t>
  </si>
  <si>
    <t>BRC148//N</t>
  </si>
  <si>
    <t>Brinco de prata 925 coração duplo liso e pontilhado (Ref. L4-1)</t>
  </si>
  <si>
    <t>BRC150//N</t>
  </si>
  <si>
    <t>Brinco de prata 925 coração abaulado largo (Ref. L10-1)</t>
  </si>
  <si>
    <t>BRC154//N</t>
  </si>
  <si>
    <t>Brinco de prata 925 laço (Ref. L17-2)</t>
  </si>
  <si>
    <t>BRC195//N</t>
  </si>
  <si>
    <t>Brinco de prata 925 pomba da paz pontilhado (Ref. L20-4)</t>
  </si>
  <si>
    <t>BRC401/N</t>
  </si>
  <si>
    <t>Brinco de prata 925 trevo chapinha (Ref. D17-1)</t>
  </si>
  <si>
    <t>CP0027/N</t>
  </si>
  <si>
    <t>Corrente de prata 925 com pingente coração triplo (Ref. F7-4)</t>
  </si>
  <si>
    <t>CP0066//N</t>
  </si>
  <si>
    <t>Corrente de prata 925 com pingente cruz vazada plaquinha (Ref. F16-2)</t>
  </si>
  <si>
    <t>CP0999P</t>
  </si>
  <si>
    <t>Corrente de prata 925 com pingente pomba da paz 45cm 0,4gr - Tamanho do pingente P</t>
  </si>
  <si>
    <t>CP0083/N</t>
  </si>
  <si>
    <t>Corrente de prata 925 com pingente coração deitado vazado 596p (Ref. F69-3)</t>
  </si>
  <si>
    <t>CP0084/N</t>
  </si>
  <si>
    <t>Corrente de prata 925 com pingente vazado menino ou menina (Ref. F68-3) - Gênero Menina</t>
  </si>
  <si>
    <t>CP0085/N</t>
  </si>
  <si>
    <t>Corrente de prata 925 com pingente vazado menino ou menina (Ref. F69-2) - Gênero Menino</t>
  </si>
  <si>
    <t>CP0107/N</t>
  </si>
  <si>
    <t>Corrente de prata 925 com pingente com 2 meninos (Ref. F5-1) - Tamanho 45cm</t>
  </si>
  <si>
    <t>CP0114/N</t>
  </si>
  <si>
    <t>Corrente de prata 925 com pingente 2 meninas (Ref. F23-4) - Tamanho 45cm</t>
  </si>
  <si>
    <t>CP0120/N</t>
  </si>
  <si>
    <t>Corrente de prata 925 com pingente inspiração tiffany (Ref. F30-4) - Cor Azul tiffany</t>
  </si>
  <si>
    <t>CPR798</t>
  </si>
  <si>
    <t>Corrente de prata 925 com pingente pérola creme veneziana 12 (Ref. F70-2) - Tamanho do pingente 6mm</t>
  </si>
  <si>
    <t>1701V1240CM/N</t>
  </si>
  <si>
    <t>Corrente de prata 925 veneziana v12 - Tamanho 40cm</t>
  </si>
  <si>
    <t>V12BOLINHA40</t>
  </si>
  <si>
    <t>Corrente de prata 925 bolinha veneziana v12 - Tamanho 45cm</t>
  </si>
  <si>
    <t>1045968/3</t>
  </si>
  <si>
    <t>TRIO BRINCOS FORMATO REDONDO COM ZIRCONIAS</t>
  </si>
  <si>
    <t>BR576</t>
  </si>
  <si>
    <t>BRINCO PEQUENO FORMATO ESTRELA</t>
  </si>
  <si>
    <t>BR359</t>
  </si>
  <si>
    <t>BRINCO ARGOLA OVAL</t>
  </si>
  <si>
    <t>B0081</t>
  </si>
  <si>
    <t>BRINCO PEDRA AMENTISTA</t>
  </si>
  <si>
    <t>BR360</t>
  </si>
  <si>
    <t xml:space="preserve">BRINCO </t>
  </si>
  <si>
    <t>BR173</t>
  </si>
  <si>
    <t>BRINCO PEQUENO EM FORMATO DE FLOR</t>
  </si>
  <si>
    <t>B0047</t>
  </si>
  <si>
    <t>BRINCO FLOR DUPLA GRANDE</t>
  </si>
  <si>
    <t>BR830</t>
  </si>
  <si>
    <t>BRINCO FORMATO CHANNEL P</t>
  </si>
  <si>
    <t>B0058</t>
  </si>
  <si>
    <t>BRINCO FORMATO DE FOLHAS COM PONTO DE LUZ NO CENTRO</t>
  </si>
  <si>
    <t>B0025</t>
  </si>
  <si>
    <t>BRINCO FOLHAS E BORBOLETA</t>
  </si>
  <si>
    <t>B070</t>
  </si>
  <si>
    <t>BRINCO FORMATO ORGANICO PEDRA AGATA VERDE</t>
  </si>
  <si>
    <t>B104</t>
  </si>
  <si>
    <t>BRINCO FORMATO ORGANICO COM ESMERALDA</t>
  </si>
  <si>
    <t>B0059</t>
  </si>
  <si>
    <t>BRINCO FORMATO FOLHAS</t>
  </si>
  <si>
    <t>B0082</t>
  </si>
  <si>
    <t>BRINCO EM FORMATO ASPIRAL COM PONTO DE LUZ NO CENTRO</t>
  </si>
  <si>
    <t>B0019</t>
  </si>
  <si>
    <t>BRINCO ZIRCONIA PONTO DE LUZ</t>
  </si>
  <si>
    <t>COLAR CORAÇÃO COM ASAS</t>
  </si>
  <si>
    <t>CORRENTE MONTADA COM PONTOS DE LUZ</t>
  </si>
  <si>
    <t>2389/T</t>
  </si>
  <si>
    <t>BRINCO PRATA 925    PONTINHO DE LUZ TRIANGULO</t>
  </si>
  <si>
    <t>2389/7E</t>
  </si>
  <si>
    <t>BRINCO PRATA 925    PONTINHO DE LUZ ESTRELA</t>
  </si>
  <si>
    <t>2389/7G</t>
  </si>
  <si>
    <t>BRINCO PRATA 925    GOTA DE CRISTAL</t>
  </si>
  <si>
    <t>2389/7Q</t>
  </si>
  <si>
    <t>BRINCO PRATA 925  BRINCO COM CRISTAL DE LUZ QUADRADINHO</t>
  </si>
  <si>
    <t>2390/CRIS</t>
  </si>
  <si>
    <t>BRINCO PRATA 925    NAVETE ELLIPSE CRISTAL</t>
  </si>
  <si>
    <t>2628/4P</t>
  </si>
  <si>
    <t>BRINCO PRATA 925    PONTINHO DE PEROLA</t>
  </si>
  <si>
    <t>2628/4Q</t>
  </si>
  <si>
    <t>BRINCO PRATA 925    QUADRADINHO VAZADO</t>
  </si>
  <si>
    <t>2628/4E</t>
  </si>
  <si>
    <t>BRINCO PRATA 925    ESTRELA VAZADA</t>
  </si>
  <si>
    <t>2628/4CR</t>
  </si>
  <si>
    <t>BRINCO PRATA 925    CRUZ</t>
  </si>
  <si>
    <t>2628/GCRS</t>
  </si>
  <si>
    <t xml:space="preserve">BRINCO PRATA 925  CRISTAL FORMATO GOTINHA ABAOLADO </t>
  </si>
  <si>
    <t>2628/7AB</t>
  </si>
  <si>
    <t>BRINCO PRATA 925  BRINCO COM PEDRA AZUL BRASILEIRA QUADRARINHO</t>
  </si>
  <si>
    <t>2628/7TA</t>
  </si>
  <si>
    <t>BRINCO PRATA 925    PEDRA TOPAZIO AZUL</t>
  </si>
  <si>
    <t>2390/AQUA</t>
  </si>
  <si>
    <t>BRINCO PRATA 925    NAVETE DE ELLIPSE CRISTAL AQUA</t>
  </si>
  <si>
    <t>2393/1CL</t>
  </si>
  <si>
    <t>BRINCO PRATA 925 REDONDO CRISTAL</t>
  </si>
  <si>
    <t>2392/CR</t>
  </si>
  <si>
    <t xml:space="preserve">BRINCO PRATA 925 CRISTAL FORMATO CORAÇÃO </t>
  </si>
  <si>
    <t>2392/RB</t>
  </si>
  <si>
    <t xml:space="preserve">BRINCO PRATA 925 CRISTAL RUBI FORMATO CORAÇÃO </t>
  </si>
  <si>
    <t>2392/AQ</t>
  </si>
  <si>
    <t xml:space="preserve">BRINCO PRATA 925 CRISTAL AQUA FORMATO CORAÇÃO </t>
  </si>
  <si>
    <t>2390/AZUL</t>
  </si>
  <si>
    <t>BRINCO PRATA 925 NAVETE ZIRCONIA ELLIPSE CRISTAL AZUL</t>
  </si>
  <si>
    <t>2390/ROSA</t>
  </si>
  <si>
    <t>BRINCO PRATA 925 NAVETE ZIRCONIA ELLIPSE QUARTZO ROSA</t>
  </si>
  <si>
    <t>2389/4CH</t>
  </si>
  <si>
    <t>BRINCO PRATA 925    CHAPADINHO</t>
  </si>
  <si>
    <t>2389/4ES</t>
  </si>
  <si>
    <t>BRINCO PRATA 925  ESTRELINHA</t>
  </si>
  <si>
    <t>2389/4TR</t>
  </si>
  <si>
    <t>BRINCO PRATA 925    TRIANGULO VAZADO</t>
  </si>
  <si>
    <t>2389/3L</t>
  </si>
  <si>
    <t>BRINCO PRATA 925    CHAPADINHO LAÇO</t>
  </si>
  <si>
    <t>2389/3ML</t>
  </si>
  <si>
    <t>BRINCO PRATA 925    CHAPADINHO MICKEY LISO</t>
  </si>
  <si>
    <t>2389/3MK</t>
  </si>
  <si>
    <t>BRINCO PRATA 925    MICKEY</t>
  </si>
  <si>
    <t>2389/3GA</t>
  </si>
  <si>
    <t>BRINCO PRATA 925    CHAPADINHO AGAROTA</t>
  </si>
  <si>
    <t>2389/TRS</t>
  </si>
  <si>
    <t>BRINCO PRATA 925  TRIO DE ESTRELINHAS</t>
  </si>
  <si>
    <t>2628/COP</t>
  </si>
  <si>
    <t>BRINCO PRATA 925  BRINCO FORMATO CORAÇÃO PEQUENO</t>
  </si>
  <si>
    <t xml:space="preserve">BRINCO FLOR PEDRA AZUL </t>
  </si>
  <si>
    <t>BRINCO FLOR PEDRA AZUL AQUA</t>
  </si>
  <si>
    <t>BRINCO FLOR PEDRA VERDE CLARO</t>
  </si>
  <si>
    <t>BRINCO CRISTAL REDONDO</t>
  </si>
  <si>
    <t>BRINCO DETALHE EM MICROZIRCONIAS FLOR</t>
  </si>
  <si>
    <t>BRINCO FORMATO ORGANICO PEQUENO</t>
  </si>
  <si>
    <t>BRINCO ARGOLA PINGENTE FLOR</t>
  </si>
  <si>
    <t>BRINCO FORMATO ORGANICO VAZADO</t>
  </si>
  <si>
    <t>BRINCO FORMATO CORAÇÃODETALHE ZIRCONIA NO MEIO</t>
  </si>
  <si>
    <t xml:space="preserve">BRINCO DETALHES EM MICROZIRCONIAS BORDAS </t>
  </si>
  <si>
    <t>BRINCO FORMATO FLOR PEDRA PRETA</t>
  </si>
  <si>
    <t>BRINCO FORMATO CORAÇÃO VAZADO P DETALHES EM PEDRINHAS</t>
  </si>
  <si>
    <t>BRINCO ARGOLA COM PINGENTE CORAÇÃO</t>
  </si>
  <si>
    <t>CORRENTE COM PINGENTE MENINA RUBI FORMATO CORAÇÃO</t>
  </si>
  <si>
    <t>CORRENTE COM PINGENTE MENINO PEDRA AZUL FORMATO CORAÇÃO</t>
  </si>
  <si>
    <t>COLAR CHAPINHA</t>
  </si>
  <si>
    <t>COLAR BOLINHAS PEQUENAS</t>
  </si>
  <si>
    <t>TRIO DE ARGOLAS</t>
  </si>
  <si>
    <t>TRIO DE ARGOLAS TRABALHADAS</t>
  </si>
  <si>
    <t>TRIO DE BRINCOS FORMATO RETANGULAR</t>
  </si>
  <si>
    <t>DUPLA DE BRINCOS FORMATO RETANGULAR</t>
  </si>
  <si>
    <t>2628/CO</t>
  </si>
  <si>
    <t>BRINCO PRATA 925  BRINCO FORMATO CORAÇÃO</t>
  </si>
  <si>
    <t>ATIVO</t>
  </si>
  <si>
    <t>DONAMELO</t>
  </si>
  <si>
    <t>TIPO DE MOVIMENTO</t>
  </si>
  <si>
    <t>ROMANEIO</t>
  </si>
  <si>
    <t>TOTAL DE VENDAS</t>
  </si>
  <si>
    <t>STATUS DO ROMANEIO</t>
  </si>
  <si>
    <t>IDM</t>
  </si>
  <si>
    <t>ESTOQUE TOTAL</t>
  </si>
  <si>
    <t>CUSTO_BRUTO</t>
  </si>
  <si>
    <t>CUSTO_BANHO</t>
  </si>
  <si>
    <t>CUSTO_TOTAL</t>
  </si>
  <si>
    <t>FORNECEDOR</t>
  </si>
  <si>
    <t>DATA_DA_MOVIMENTAÇÃO</t>
  </si>
  <si>
    <t>VALOR A RECEBER</t>
  </si>
  <si>
    <t>&gt;3500</t>
  </si>
  <si>
    <t>CATEGORIA_DO_PRODUTO</t>
  </si>
  <si>
    <t>CODIGO_DO_PRODUTO</t>
  </si>
  <si>
    <t>ANEL CINCO CORAÇÕES COM PEDRINHAS</t>
  </si>
  <si>
    <t xml:space="preserve">ANEL CORAÇÃO VAZADO </t>
  </si>
  <si>
    <t>ANEL CORAÇÕES E PEQUENAS ZIRCONIAS</t>
  </si>
  <si>
    <t>ANEL DETALHE PEDRINHAS</t>
  </si>
  <si>
    <t>ANEL FÉ COM DETALHES EM PEQUENAS ZIRCONIAS</t>
  </si>
  <si>
    <t>ANEL CRUZ COM PEDRINHAS</t>
  </si>
  <si>
    <t>ANEL CORAÇÃO COM BRILHANTES</t>
  </si>
  <si>
    <t>ANEL DETALHADO COM PEQUENAS PEDRAS</t>
  </si>
  <si>
    <t>ANEL CORAÇÃO PEQUENO E ARCO DE PEQUENAS PEDRINHAS</t>
  </si>
  <si>
    <t>ANEL CORAÇÃO COM CINCO PEDRINAS</t>
  </si>
  <si>
    <t>ANEL DUPLA DE SOLITARIO E PEDRINHA</t>
  </si>
  <si>
    <t>ANEL QUATRO CORAÇÕES COM PEDRINHAS</t>
  </si>
  <si>
    <t>ANEL NOSSA SENHORA</t>
  </si>
  <si>
    <t>ANEL CORAÇÕESZINHOS VAZADOS E PEDRINHAS</t>
  </si>
  <si>
    <t>ANEL PEDRINHAS</t>
  </si>
  <si>
    <t>ANEL DUPLA DE CORAÇÕES</t>
  </si>
  <si>
    <t>ANEL DUPLO CORAÇÃO COM PEDRINHAS E ONDAS</t>
  </si>
  <si>
    <t>ANEL TORCIDO COM DETALHES EM ZIRCONIA</t>
  </si>
  <si>
    <t>FBWJ96A</t>
  </si>
  <si>
    <t>CORRENTE COM PINGENTE DUAS IRMÃS CORAÇÕES</t>
  </si>
  <si>
    <t>VBCDP4</t>
  </si>
  <si>
    <t>CORRENTE COM PINGENTE QUATRO MENINOS CORAÇÕES</t>
  </si>
  <si>
    <t>FBWJ96O</t>
  </si>
  <si>
    <t>CORRENTE COM PINGENTE DOIS MENINOS CORAÇÕES</t>
  </si>
  <si>
    <t>L0QQVRO</t>
  </si>
  <si>
    <t>CORRENTE COM PINGENTE MENINO CORAÇÕES</t>
  </si>
  <si>
    <t>L0QQVRA</t>
  </si>
  <si>
    <t>CORRENTE COM PINGENTE MENINA CORAÇÕES</t>
  </si>
  <si>
    <t>YAOSWD</t>
  </si>
  <si>
    <t>COLAR COM PEQUENAS PEROLAS</t>
  </si>
  <si>
    <t>IYCRPM</t>
  </si>
  <si>
    <t>PULSEIRA CORAÇÃO DE PEROLA</t>
  </si>
  <si>
    <t>BNJI1P</t>
  </si>
  <si>
    <t>COLAR COM PINGENTE PEDRA FORMATO CORAÇÃO E PEDRINHAS NA BORDA</t>
  </si>
  <si>
    <t>SO9CL0</t>
  </si>
  <si>
    <t>GARGANTILHA CORAÇÕES VAZADOS</t>
  </si>
  <si>
    <t>ANXL16</t>
  </si>
  <si>
    <t>PULSEIRA CORAÇÃO</t>
  </si>
  <si>
    <t>RGXWRT</t>
  </si>
  <si>
    <t>PULSEIRA FORMATO QUADRADO PINGENTE CORAÇÃO</t>
  </si>
  <si>
    <t>SNOMV3</t>
  </si>
  <si>
    <t>PULSEIRA FORMATO CORAÇÃO COM PINGENTE DUAS MENINAS</t>
  </si>
  <si>
    <t>1PW6ZX</t>
  </si>
  <si>
    <t>COLAR COM PINGENTE CORAÇÃO PEDRA BRILHANTE</t>
  </si>
  <si>
    <t>0DXQX1</t>
  </si>
  <si>
    <t>COLAR PINGENTE TRES MENINAS</t>
  </si>
  <si>
    <t>G9FTCL</t>
  </si>
  <si>
    <t>COLAR PINGENTE DUAS MENINAS E DOIS MENINOS</t>
  </si>
  <si>
    <t>3EGEBD</t>
  </si>
  <si>
    <t>ESCAPULARIO</t>
  </si>
  <si>
    <t>GTVNWHA</t>
  </si>
  <si>
    <t>COLAR COM PINGENTE MENINA</t>
  </si>
  <si>
    <t>GTVNWHO</t>
  </si>
  <si>
    <t>COLAR COM PINGENTE MENINO</t>
  </si>
  <si>
    <t>6VL84M</t>
  </si>
  <si>
    <t>CONJUNTO BRINCO E COLAR CORAÇÃO COM CRISTAIS</t>
  </si>
  <si>
    <t>TD0GWK</t>
  </si>
  <si>
    <t>COLAR COM PINGENTE NOSSA SENHORA COM CRISTAIS</t>
  </si>
  <si>
    <t>WYWVCC</t>
  </si>
  <si>
    <t xml:space="preserve">COLAR COM PINGENTE NOSSA SENHORA </t>
  </si>
  <si>
    <t>CONJUNTO</t>
  </si>
  <si>
    <t>MARGEM DE LUCRO</t>
  </si>
  <si>
    <t>ESTOQUE DISPONIVEL</t>
  </si>
  <si>
    <t>ESTOQUE EM MALETAS</t>
  </si>
  <si>
    <t>STATUS DO ITEM</t>
  </si>
  <si>
    <t>CONFERIDA_RETORNO</t>
  </si>
  <si>
    <t>DONAMELO SEMI JOIAS</t>
  </si>
  <si>
    <t>(47)99622-6075</t>
  </si>
  <si>
    <t xml:space="preserve">            /            /            .</t>
  </si>
  <si>
    <t>Detalhes Importantes</t>
  </si>
  <si>
    <t>Todas as peças passam por uma rigorosa conferencia antes de saírem para revenda, portanto, não aceitaremos reclamações por falta de</t>
  </si>
  <si>
    <t xml:space="preserve"> peças depois de enviadas/retiradas. Faça a devida conferência  relacionado a quantidade e qualidade de peças estipulada nesse Relatório</t>
  </si>
  <si>
    <t xml:space="preserve"> de Peças, caso não o faça perderá o direito de reclamação.</t>
  </si>
  <si>
    <t>Todas as peças irão com preço e código na etiqueta, cuide para evitar a perda, rasura, troca ou desconfiguração dessas etiquetas.</t>
  </si>
  <si>
    <t>Toda peça semijoia, indiferente do seu teor, pode escurecer por diversos fatores como exposição a luz excessiva, manuseio incorreto</t>
  </si>
  <si>
    <t xml:space="preserve">(uso de cremes, perfumes, tintura, xampu, produtos de limpeza em geral), pessoas que transpiram muito a probabilidade é maior. </t>
  </si>
  <si>
    <t>Não aceitamos devoluções ou geramos créditos de peças com essas características, consulte nosso certificado de garantia!</t>
  </si>
  <si>
    <t>Nossas semijoias são produzidas com matérias nobres, recebem revestimentos em ouro, prata ou ródio. São hipoalergênicas,</t>
  </si>
  <si>
    <t>submetidas ao processo niquel-free, garantindo qualidade sem comprometer a saúde da sua pele e podem durar por muitos anos com o</t>
  </si>
  <si>
    <t xml:space="preserve"> uso correto e valor mais acessível do que uma jóia.</t>
  </si>
  <si>
    <t>Critérios de comissão: Vendas até R$ 1.000,00 reais recebe 30% de comissão, de R$ 1001,00 reais até R$2.000,00 reais 35%, acima de</t>
  </si>
  <si>
    <t xml:space="preserve"> R$ 2001,00 reais 40% de comissão.</t>
  </si>
  <si>
    <t>Nós da DonaMelo Semijoias estaremos disposição para sanar eventuais dúvidas, boas vendas!</t>
  </si>
  <si>
    <t>RELATÓRIO DE PEÇAS CONSIGNADO</t>
  </si>
  <si>
    <t>Código</t>
  </si>
  <si>
    <t>Descrição</t>
  </si>
  <si>
    <t>Preço Venda</t>
  </si>
  <si>
    <t xml:space="preserve">Categoria </t>
  </si>
  <si>
    <t>Quantidade</t>
  </si>
  <si>
    <t>ID ROMANEIO:</t>
  </si>
  <si>
    <t>DATA:</t>
  </si>
  <si>
    <t xml:space="preserve">REVENDEDORA: </t>
  </si>
  <si>
    <t>REVENDA</t>
  </si>
  <si>
    <t>ID REVENDA</t>
  </si>
  <si>
    <t>STATUS ROMANEIO</t>
  </si>
  <si>
    <t>ENTRADA</t>
  </si>
  <si>
    <t>COMPRA</t>
  </si>
  <si>
    <t>ADMIN</t>
  </si>
  <si>
    <t>DEFEITO</t>
  </si>
  <si>
    <t>DEVOLUÇÃO FORNECEDOR</t>
  </si>
  <si>
    <t>DANI</t>
  </si>
  <si>
    <t>FINALIZADO</t>
  </si>
  <si>
    <t>VENDIDO</t>
  </si>
  <si>
    <t>MALETA ORIGEM</t>
  </si>
  <si>
    <t>MALETA DESTINO</t>
  </si>
  <si>
    <t>SALDO ROMANEIO</t>
  </si>
  <si>
    <t>ESTOQUE DESTINO</t>
  </si>
  <si>
    <t>VALOR UNITARIO</t>
  </si>
  <si>
    <t>CONFERIDO</t>
  </si>
  <si>
    <t>A CONFIRMAR</t>
  </si>
  <si>
    <t>VALOR TOTAL EM MALETAS</t>
  </si>
  <si>
    <t>VALOR TOTAL GERAL CUSTO</t>
  </si>
  <si>
    <t>VALOR TOTAL GERAL PREÇO DE VENDA</t>
  </si>
  <si>
    <t>DATA ALTERAÇÃO</t>
  </si>
  <si>
    <t>ID</t>
  </si>
  <si>
    <t>CODIGO DO PRODUTO</t>
  </si>
  <si>
    <t>Valor de Venda</t>
  </si>
  <si>
    <t>Comissão</t>
  </si>
  <si>
    <t>VALOR TOTAL ESTOQUE DISPONIVEL</t>
  </si>
  <si>
    <t>ESTOQUE TOTAL DO PRODUTO APÓS REGISTRO</t>
  </si>
  <si>
    <t>PINGENTE URSINHO CRAVEJADO COM DIAMANTES</t>
  </si>
  <si>
    <t>BICHOS</t>
  </si>
  <si>
    <t>PINGENTE POMBA DA PAZ CRAVEJADA COM ZIRCONIA NAS AZAS</t>
  </si>
  <si>
    <t>COLAR PINGENTE SIMBOLO INFINITO</t>
  </si>
  <si>
    <t>GARGANTILHA ESCREITA "I LOVE YOU" 30CM</t>
  </si>
  <si>
    <t>SAIDA</t>
  </si>
  <si>
    <t>USUARIO</t>
  </si>
  <si>
    <t xml:space="preserve">ESTOQUE DISPONIVEL APÓS REGISTRO </t>
  </si>
  <si>
    <t xml:space="preserve">ESTOQUE EM MALETAS APÓS REGISTRO </t>
  </si>
  <si>
    <t>0&lt;500</t>
  </si>
  <si>
    <t>&gt;500&lt;1000</t>
  </si>
  <si>
    <t>&gt;1000&lt;2000</t>
  </si>
  <si>
    <t>&gt;2000&lt;3500</t>
  </si>
  <si>
    <t>VALOR COMISSAO A PAGAR</t>
  </si>
  <si>
    <t>STATUS PAGAMENTO</t>
  </si>
  <si>
    <t>STATUS RECEBIMENTO</t>
  </si>
  <si>
    <t>DATA FECHAMENTO</t>
  </si>
  <si>
    <t>BANHO</t>
  </si>
  <si>
    <t>GALVÂNICA</t>
  </si>
  <si>
    <t xml:space="preserve">Ultima Alteração </t>
  </si>
  <si>
    <t>AJUSTE MANUAL</t>
  </si>
  <si>
    <t>DIVERGENCIA ESTOQUE</t>
  </si>
  <si>
    <t>VENDA</t>
  </si>
  <si>
    <t>DIVERGENCIA DE ESTOQUE</t>
  </si>
  <si>
    <t>BAIXA ESTOQUE</t>
  </si>
  <si>
    <t>SENHA</t>
  </si>
  <si>
    <t>AÇÃO</t>
  </si>
  <si>
    <t>wilianfausto</t>
  </si>
  <si>
    <t>dani</t>
  </si>
  <si>
    <t>admin</t>
  </si>
  <si>
    <t>080687</t>
  </si>
  <si>
    <t>NUMERO</t>
  </si>
  <si>
    <t>RUA</t>
  </si>
  <si>
    <t>DANIELA NARIANE DE MELO</t>
  </si>
  <si>
    <t>danixmelo29@gmail.com</t>
  </si>
  <si>
    <t>JOAQUIM COUTO</t>
  </si>
  <si>
    <t>GRAVATÁ</t>
  </si>
  <si>
    <t>NAVEGANTES</t>
  </si>
  <si>
    <t>SC</t>
  </si>
  <si>
    <t>DNM00001</t>
  </si>
  <si>
    <t>NOME_REVENDEDORA</t>
  </si>
  <si>
    <t>PENDENTE</t>
  </si>
  <si>
    <t>1</t>
  </si>
  <si>
    <t>PERCENTUAL DE COMISSÃO</t>
  </si>
  <si>
    <t>QTD_RETORNOU</t>
  </si>
  <si>
    <t>QTD_VENDIDA</t>
  </si>
  <si>
    <t>DATA_RETORNO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</si>
</sst>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00000"/>
    <numFmt numFmtId="166" formatCode="#,##0.00_ ;\-#,##0.00\ "/>
    <numFmt numFmtId="167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name val="Calibri"/>
      <family val="2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i/>
      <sz val="9"/>
      <color indexed="8"/>
      <name val="Calibri"/>
      <family val="2"/>
      <scheme val="minor"/>
    </font>
    <font>
      <b/>
      <sz val="16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7">
    <xf numFmtId="0" fontId="0" fillId="0" borderId="0" xfId="0"/>
    <xf numFmtId="0" fontId="3" fillId="0" borderId="0" xfId="0" applyFont="1" applyAlignme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 wrapText="1" indent="1"/>
    </xf>
    <xf numFmtId="0" fontId="5" fillId="0" borderId="0" xfId="0" applyFont="1"/>
    <xf numFmtId="9" fontId="0" fillId="0" borderId="0" xfId="0" applyNumberFormat="1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44" fontId="7" fillId="0" borderId="0" xfId="1" applyFont="1" applyAlignment="1">
      <alignment horizontal="center" vertical="center" wrapText="1"/>
    </xf>
    <xf numFmtId="9" fontId="3" fillId="0" borderId="0" xfId="2" applyFont="1" applyAlignment="1">
      <alignment horizontal="center"/>
    </xf>
    <xf numFmtId="0" fontId="8" fillId="0" borderId="0" xfId="3"/>
    <xf numFmtId="0" fontId="9" fillId="0" borderId="0" xfId="3" applyFont="1"/>
    <xf numFmtId="164" fontId="9" fillId="0" borderId="0" xfId="3" applyNumberFormat="1" applyFont="1" applyAlignment="1">
      <alignment horizontal="center"/>
    </xf>
    <xf numFmtId="0" fontId="9" fillId="0" borderId="0" xfId="3" applyFont="1" applyAlignment="1">
      <alignment horizontal="center"/>
    </xf>
    <xf numFmtId="164" fontId="9" fillId="0" borderId="0" xfId="3" applyNumberFormat="1" applyFont="1" applyAlignment="1">
      <alignment horizontal="right"/>
    </xf>
    <xf numFmtId="0" fontId="10" fillId="0" borderId="0" xfId="3" applyFont="1"/>
    <xf numFmtId="0" fontId="5" fillId="2" borderId="1" xfId="3" applyFont="1" applyFill="1" applyBorder="1" applyAlignment="1">
      <alignment horizontal="center"/>
    </xf>
    <xf numFmtId="164" fontId="5" fillId="2" borderId="1" xfId="3" applyNumberFormat="1" applyFont="1" applyFill="1" applyBorder="1" applyAlignment="1">
      <alignment horizontal="center"/>
    </xf>
    <xf numFmtId="0" fontId="5" fillId="2" borderId="0" xfId="3" applyFont="1" applyFill="1" applyAlignment="1">
      <alignment horizontal="center"/>
    </xf>
    <xf numFmtId="164" fontId="5" fillId="2" borderId="0" xfId="3" applyNumberFormat="1" applyFont="1" applyFill="1" applyAlignment="1">
      <alignment horizontal="center"/>
    </xf>
    <xf numFmtId="0" fontId="10" fillId="0" borderId="0" xfId="3" applyFont="1" applyAlignment="1">
      <alignment horizontal="right"/>
    </xf>
    <xf numFmtId="0" fontId="9" fillId="0" borderId="0" xfId="3" applyFont="1" applyAlignment="1">
      <alignment horizontal="left" indent="1"/>
    </xf>
    <xf numFmtId="165" fontId="9" fillId="0" borderId="0" xfId="3" applyNumberFormat="1" applyFont="1" applyAlignment="1">
      <alignment horizontal="left"/>
    </xf>
    <xf numFmtId="0" fontId="10" fillId="0" borderId="0" xfId="3" applyFont="1" applyAlignment="1">
      <alignment horizontal="left" indent="1"/>
    </xf>
    <xf numFmtId="0" fontId="13" fillId="0" borderId="2" xfId="3" applyFont="1" applyBorder="1" applyAlignment="1">
      <alignment vertical="top"/>
    </xf>
    <xf numFmtId="0" fontId="9" fillId="3" borderId="0" xfId="3" applyFont="1" applyFill="1"/>
    <xf numFmtId="0" fontId="10" fillId="3" borderId="0" xfId="3" applyFont="1" applyFill="1"/>
    <xf numFmtId="164" fontId="9" fillId="3" borderId="0" xfId="3" applyNumberFormat="1" applyFont="1" applyFill="1" applyAlignment="1">
      <alignment horizontal="center"/>
    </xf>
    <xf numFmtId="0" fontId="9" fillId="3" borderId="0" xfId="3" applyFont="1" applyFill="1" applyAlignment="1">
      <alignment horizontal="center"/>
    </xf>
    <xf numFmtId="16" fontId="2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center" vertical="center" wrapText="1"/>
    </xf>
    <xf numFmtId="9" fontId="7" fillId="4" borderId="0" xfId="2" applyFont="1" applyFill="1" applyAlignment="1">
      <alignment horizontal="center" vertical="center" wrapText="1"/>
    </xf>
    <xf numFmtId="0" fontId="7" fillId="0" borderId="0" xfId="0" applyNumberFormat="1" applyFont="1" applyAlignment="1">
      <alignment horizontal="center" vertical="center" wrapText="1"/>
    </xf>
    <xf numFmtId="0" fontId="3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66" fontId="7" fillId="4" borderId="0" xfId="1" applyNumberFormat="1" applyFont="1" applyFill="1" applyAlignment="1">
      <alignment horizontal="center" vertical="center" wrapText="1"/>
    </xf>
    <xf numFmtId="166" fontId="3" fillId="0" borderId="0" xfId="1" applyNumberFormat="1" applyFont="1" applyAlignment="1">
      <alignment horizontal="left"/>
    </xf>
    <xf numFmtId="22" fontId="3" fillId="0" borderId="0" xfId="0" applyNumberFormat="1" applyFont="1" applyAlignment="1">
      <alignment horizontal="center"/>
    </xf>
    <xf numFmtId="44" fontId="7" fillId="4" borderId="0" xfId="1" applyFont="1" applyFill="1" applyAlignment="1">
      <alignment horizontal="center" vertical="center" wrapText="1"/>
    </xf>
    <xf numFmtId="44" fontId="3" fillId="0" borderId="0" xfId="1" applyFont="1" applyAlignment="1">
      <alignment horizontal="center"/>
    </xf>
    <xf numFmtId="44" fontId="3" fillId="0" borderId="0" xfId="1" applyFont="1" applyAlignment="1">
      <alignment horizontal="left"/>
    </xf>
    <xf numFmtId="0" fontId="0" fillId="0" borderId="0" xfId="0" applyAlignment="1">
      <alignment horizontal="left"/>
    </xf>
    <xf numFmtId="16" fontId="5" fillId="0" borderId="0" xfId="0" applyNumberFormat="1" applyFont="1" applyAlignment="1">
      <alignment horizontal="left"/>
    </xf>
    <xf numFmtId="0" fontId="2" fillId="0" borderId="0" xfId="0" applyFont="1" applyAlignment="1"/>
    <xf numFmtId="49" fontId="7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/>
    </xf>
    <xf numFmtId="22" fontId="2" fillId="0" borderId="0" xfId="0" applyNumberFormat="1" applyFont="1" applyAlignment="1">
      <alignment horizontal="left" vertical="center"/>
    </xf>
    <xf numFmtId="0" fontId="7" fillId="0" borderId="0" xfId="0" applyFont="1" applyFill="1" applyAlignment="1">
      <alignment horizontal="center" vertical="center" wrapText="1"/>
    </xf>
    <xf numFmtId="44" fontId="7" fillId="0" borderId="0" xfId="1" applyFont="1" applyAlignment="1">
      <alignment vertical="center" wrapText="1"/>
    </xf>
    <xf numFmtId="44" fontId="0" fillId="0" borderId="0" xfId="1" applyFont="1" applyAlignment="1"/>
    <xf numFmtId="0" fontId="7" fillId="0" borderId="0" xfId="0" applyFont="1" applyAlignment="1"/>
    <xf numFmtId="0" fontId="7" fillId="0" borderId="0" xfId="0" applyFont="1" applyAlignment="1">
      <alignment vertical="center" wrapText="1"/>
    </xf>
    <xf numFmtId="9" fontId="7" fillId="0" borderId="0" xfId="2" applyFont="1" applyAlignment="1">
      <alignment vertical="center" wrapText="1"/>
    </xf>
    <xf numFmtId="0" fontId="0" fillId="0" borderId="0" xfId="0" applyAlignment="1"/>
    <xf numFmtId="22" fontId="0" fillId="0" borderId="0" xfId="0" applyNumberFormat="1" applyAlignment="1"/>
    <xf numFmtId="0" fontId="5" fillId="4" borderId="0" xfId="0" applyFont="1" applyFill="1" applyAlignment="1">
      <alignment horizontal="left" vertical="center" wrapText="1"/>
    </xf>
    <xf numFmtId="49" fontId="5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0" fontId="5" fillId="4" borderId="0" xfId="0" applyNumberFormat="1" applyFont="1" applyFill="1" applyAlignment="1">
      <alignment horizontal="center" vertical="center" wrapTex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vertical="center"/>
    </xf>
    <xf numFmtId="0" fontId="14" fillId="0" borderId="0" xfId="0" applyFont="1"/>
    <xf numFmtId="0" fontId="0" fillId="0" borderId="0" xfId="0" applyFill="1"/>
    <xf numFmtId="167" fontId="5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6" fillId="0" borderId="0" xfId="0" applyNumberFormat="1" applyFont="1"/>
    <xf numFmtId="49" fontId="4" fillId="0" borderId="0" xfId="0" applyNumberFormat="1" applyFont="1"/>
    <xf numFmtId="0" fontId="15" fillId="0" borderId="0" xfId="5"/>
    <xf numFmtId="0" fontId="5" fillId="0" borderId="0" xfId="0" applyFont="1" applyAlignment="1">
      <alignment horizontal="center"/>
    </xf>
    <xf numFmtId="0" fontId="12" fillId="0" borderId="3" xfId="3" applyFont="1" applyBorder="1" applyAlignment="1">
      <alignment horizontal="center" vertical="center"/>
    </xf>
    <xf numFmtId="0" fontId="5" fillId="2" borderId="1" xfId="3" applyFont="1" applyFill="1" applyBorder="1" applyAlignment="1">
      <alignment horizontal="left"/>
    </xf>
    <xf numFmtId="0" fontId="5" fillId="2" borderId="1" xfId="3" applyFont="1" applyFill="1" applyBorder="1" applyAlignment="1">
      <alignment horizontal="center"/>
    </xf>
    <xf numFmtId="0" fontId="11" fillId="0" borderId="2" xfId="3" applyFont="1" applyBorder="1" applyAlignment="1">
      <alignment horizontal="center" vertical="center"/>
    </xf>
    <xf numFmtId="0" fontId="5" fillId="2" borderId="3" xfId="3" applyFont="1" applyFill="1" applyBorder="1" applyAlignment="1">
      <alignment horizontal="center"/>
    </xf>
    <xf numFmtId="0" fontId="9" fillId="0" borderId="2" xfId="3" applyFont="1" applyBorder="1" applyAlignment="1">
      <alignment horizontal="center" vertical="top"/>
    </xf>
    <xf numFmtId="0" fontId="9" fillId="0" borderId="0" xfId="3" applyFont="1" applyAlignment="1">
      <alignment horizontal="center"/>
    </xf>
    <xf numFmtId="0" fontId="8" fillId="0" borderId="0" xfId="3" applyAlignment="1">
      <alignment horizontal="center"/>
    </xf>
  </cellXfs>
  <cellStyles count="6">
    <cellStyle name="Hiperligação" xfId="5" builtinId="8"/>
    <cellStyle name="Moeda" xfId="1" builtinId="4"/>
    <cellStyle name="Moeda 2" xfId="4" xr:uid="{627995BC-F8E6-4711-A0BF-44D3769CE919}"/>
    <cellStyle name="Normal" xfId="0" builtinId="0"/>
    <cellStyle name="Normal 2" xfId="3" xr:uid="{E1AE6F11-97D9-4476-B9BE-96C014BF15AB}"/>
    <cellStyle name="Pe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danixmelo29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X507"/>
  <sheetViews>
    <sheetView topLeftCell="E1" workbookViewId="0">
      <selection activeCell="B22" sqref="B21:B22"/>
    </sheetView>
  </sheetViews>
  <sheetFormatPr defaultColWidth="22.28515625" defaultRowHeight="12" x14ac:dyDescent="0.2"/>
  <cols>
    <col min="1" max="1" width="13.85546875" style="53" bestFit="1" customWidth="1"/>
    <col min="2" max="2" width="84.140625" style="1" bestFit="1" customWidth="1"/>
    <col min="3" max="3" width="11.28515625" style="5" bestFit="1" customWidth="1"/>
    <col min="4" max="4" width="12.42578125" style="5" bestFit="1" customWidth="1"/>
    <col min="5" max="6" width="12.42578125" style="47" customWidth="1"/>
    <col min="7" max="8" width="13.85546875" style="47" bestFit="1" customWidth="1"/>
    <col min="9" max="9" width="23.7109375" style="16" bestFit="1" customWidth="1"/>
    <col min="10" max="10" width="7.85546875" style="5" bestFit="1" customWidth="1"/>
    <col min="11" max="11" width="11.42578125" style="5" bestFit="1" customWidth="1"/>
    <col min="12" max="12" width="15.42578125" style="5" bestFit="1" customWidth="1"/>
    <col min="13" max="13" width="15.28515625" style="5" customWidth="1"/>
    <col min="14" max="14" width="21.140625" style="48" bestFit="1" customWidth="1"/>
    <col min="15" max="17" width="21.140625" style="48" customWidth="1"/>
    <col min="18" max="18" width="7.85546875" style="5" bestFit="1" customWidth="1"/>
    <col min="19" max="19" width="11.42578125" style="5" bestFit="1" customWidth="1"/>
    <col min="20" max="20" width="11.42578125" style="5" customWidth="1"/>
    <col min="21" max="21" width="25" style="5" customWidth="1"/>
    <col min="22" max="22" width="21.140625" style="44" bestFit="1" customWidth="1"/>
    <col min="23" max="16384" width="22.28515625" style="5"/>
  </cols>
  <sheetData>
    <row r="1" spans="1:24" s="14" customFormat="1" ht="24" x14ac:dyDescent="0.2">
      <c r="A1" s="52" t="s">
        <v>0</v>
      </c>
      <c r="B1" s="13" t="s">
        <v>1</v>
      </c>
      <c r="C1" s="13" t="s">
        <v>2</v>
      </c>
      <c r="D1" s="13" t="s">
        <v>3</v>
      </c>
      <c r="E1" s="15" t="s">
        <v>690</v>
      </c>
      <c r="F1" s="15" t="s">
        <v>691</v>
      </c>
      <c r="G1" s="46" t="s">
        <v>692</v>
      </c>
      <c r="H1" s="15" t="s">
        <v>4</v>
      </c>
      <c r="I1" s="38" t="s">
        <v>760</v>
      </c>
      <c r="J1" s="37" t="s">
        <v>689</v>
      </c>
      <c r="K1" s="13" t="s">
        <v>762</v>
      </c>
      <c r="L1" s="55" t="s">
        <v>761</v>
      </c>
      <c r="M1" s="13" t="s">
        <v>686</v>
      </c>
      <c r="N1" s="46" t="s">
        <v>32</v>
      </c>
      <c r="O1" s="46" t="s">
        <v>809</v>
      </c>
      <c r="P1" s="46" t="s">
        <v>811</v>
      </c>
      <c r="Q1" s="46" t="s">
        <v>810</v>
      </c>
      <c r="R1" s="13" t="s">
        <v>5</v>
      </c>
      <c r="S1" s="13" t="s">
        <v>6</v>
      </c>
      <c r="T1" s="13" t="s">
        <v>693</v>
      </c>
      <c r="U1" s="13" t="s">
        <v>31</v>
      </c>
      <c r="V1" s="43" t="s">
        <v>817</v>
      </c>
      <c r="W1" s="13" t="s">
        <v>838</v>
      </c>
    </row>
    <row r="2" spans="1:24" x14ac:dyDescent="0.2">
      <c r="A2" s="53">
        <v>1005787</v>
      </c>
      <c r="B2" s="1" t="s">
        <v>33</v>
      </c>
      <c r="C2" s="5" t="s">
        <v>49</v>
      </c>
      <c r="G2" s="47">
        <f>SUM(E2:F2)</f>
        <v>0</v>
      </c>
      <c r="H2" s="47">
        <v>28.9</v>
      </c>
      <c r="I2" s="16" t="str">
        <f>IFERROR(H2/G2*100%,"SEM INFORMAÇÃO DE CUSTOS")</f>
        <v>SEM INFORMAÇÃO DE CUSTOS</v>
      </c>
      <c r="J2" s="5">
        <f>K2+L2</f>
        <v>5</v>
      </c>
      <c r="K2" s="5">
        <v>0</v>
      </c>
      <c r="L2" s="5">
        <v>5</v>
      </c>
      <c r="M2" s="5">
        <v>0</v>
      </c>
      <c r="N2" s="48">
        <f>K2*H2</f>
        <v>0</v>
      </c>
      <c r="O2" s="48">
        <f>K2*H2</f>
        <v>0</v>
      </c>
      <c r="P2" s="48">
        <f>J2*H2</f>
        <v>144.5</v>
      </c>
      <c r="Q2" s="48">
        <f>J2*G2</f>
        <v>0</v>
      </c>
      <c r="R2" s="5" t="s">
        <v>682</v>
      </c>
      <c r="S2" s="5" t="s">
        <v>683</v>
      </c>
      <c r="V2" s="44">
        <f>L2*H2</f>
        <v>144.5</v>
      </c>
      <c r="W2" s="45">
        <v>46154.686620370368</v>
      </c>
      <c r="X2" s="45"/>
    </row>
    <row r="3" spans="1:24" x14ac:dyDescent="0.2">
      <c r="A3" s="53">
        <v>1005788</v>
      </c>
      <c r="B3" s="1" t="s">
        <v>34</v>
      </c>
      <c r="C3" s="5" t="s">
        <v>49</v>
      </c>
      <c r="G3" s="47">
        <f t="shared" ref="G3:G66" si="0">SUM(E3:F3)</f>
        <v>0</v>
      </c>
      <c r="H3" s="47">
        <v>19.899999999999999</v>
      </c>
      <c r="I3" s="16" t="str">
        <f t="shared" ref="I3:I66" si="1">IFERROR(H3/G3*100%,"SEM INFORMAÇÃO DE CUSTOS")</f>
        <v>SEM INFORMAÇÃO DE CUSTOS</v>
      </c>
      <c r="J3" s="5">
        <f t="shared" ref="J3:J66" si="2">K3+L3</f>
        <v>1</v>
      </c>
      <c r="K3" s="5">
        <v>0</v>
      </c>
      <c r="L3" s="5">
        <v>1</v>
      </c>
      <c r="M3" s="5">
        <v>0</v>
      </c>
      <c r="N3" s="48">
        <f t="shared" ref="N3:N65" si="3">L3*H3</f>
        <v>19.899999999999999</v>
      </c>
      <c r="O3" s="48">
        <f t="shared" ref="O3:O66" si="4">K3*H3</f>
        <v>0</v>
      </c>
      <c r="P3" s="48">
        <f t="shared" ref="P3:P66" si="5">O3+N3</f>
        <v>19.899999999999999</v>
      </c>
      <c r="Q3" s="48">
        <f t="shared" ref="Q3:Q66" si="6">J3*G3</f>
        <v>0</v>
      </c>
      <c r="R3" s="5" t="s">
        <v>682</v>
      </c>
      <c r="S3" s="5" t="s">
        <v>683</v>
      </c>
      <c r="V3" s="44">
        <f>L3*H3</f>
        <v>19.899999999999999</v>
      </c>
    </row>
    <row r="4" spans="1:24" x14ac:dyDescent="0.2">
      <c r="A4" s="53">
        <v>1005789</v>
      </c>
      <c r="B4" s="1" t="s">
        <v>35</v>
      </c>
      <c r="C4" s="5" t="s">
        <v>49</v>
      </c>
      <c r="G4" s="47">
        <f t="shared" si="0"/>
        <v>0</v>
      </c>
      <c r="H4" s="47">
        <v>54.9</v>
      </c>
      <c r="I4" s="16" t="str">
        <f t="shared" si="1"/>
        <v>SEM INFORMAÇÃO DE CUSTOS</v>
      </c>
      <c r="J4" s="5">
        <f t="shared" si="2"/>
        <v>2</v>
      </c>
      <c r="K4" s="5">
        <v>0</v>
      </c>
      <c r="L4" s="5">
        <v>2</v>
      </c>
      <c r="M4" s="5">
        <v>0</v>
      </c>
      <c r="N4" s="48">
        <f t="shared" si="3"/>
        <v>109.8</v>
      </c>
      <c r="O4" s="48">
        <f t="shared" si="4"/>
        <v>0</v>
      </c>
      <c r="P4" s="48">
        <f t="shared" si="5"/>
        <v>109.8</v>
      </c>
      <c r="Q4" s="48">
        <f t="shared" si="6"/>
        <v>0</v>
      </c>
      <c r="R4" s="5" t="s">
        <v>682</v>
      </c>
      <c r="S4" s="5" t="s">
        <v>683</v>
      </c>
      <c r="V4" s="44">
        <f t="shared" ref="V4:V66" si="7">L4*H4</f>
        <v>109.8</v>
      </c>
    </row>
    <row r="5" spans="1:24" x14ac:dyDescent="0.2">
      <c r="A5" s="53">
        <v>1010371</v>
      </c>
      <c r="B5" s="1" t="s">
        <v>36</v>
      </c>
      <c r="C5" s="5" t="s">
        <v>49</v>
      </c>
      <c r="G5" s="47">
        <f t="shared" si="0"/>
        <v>0</v>
      </c>
      <c r="H5" s="47">
        <v>19.899999999999999</v>
      </c>
      <c r="I5" s="16" t="str">
        <f t="shared" si="1"/>
        <v>SEM INFORMAÇÃO DE CUSTOS</v>
      </c>
      <c r="J5" s="5">
        <f t="shared" si="2"/>
        <v>3</v>
      </c>
      <c r="K5" s="5">
        <v>0</v>
      </c>
      <c r="L5" s="5">
        <v>3</v>
      </c>
      <c r="M5" s="5">
        <v>0</v>
      </c>
      <c r="N5" s="48">
        <f t="shared" si="3"/>
        <v>59.699999999999996</v>
      </c>
      <c r="O5" s="48">
        <f t="shared" si="4"/>
        <v>0</v>
      </c>
      <c r="P5" s="48">
        <f t="shared" si="5"/>
        <v>59.699999999999996</v>
      </c>
      <c r="Q5" s="48">
        <f t="shared" si="6"/>
        <v>0</v>
      </c>
      <c r="R5" s="5" t="s">
        <v>682</v>
      </c>
      <c r="S5" s="5" t="s">
        <v>683</v>
      </c>
      <c r="V5" s="44">
        <f t="shared" si="7"/>
        <v>59.699999999999996</v>
      </c>
    </row>
    <row r="6" spans="1:24" x14ac:dyDescent="0.2">
      <c r="A6" s="53">
        <v>1010372</v>
      </c>
      <c r="B6" s="1" t="s">
        <v>37</v>
      </c>
      <c r="C6" s="5" t="s">
        <v>49</v>
      </c>
      <c r="G6" s="47">
        <f t="shared" si="0"/>
        <v>0</v>
      </c>
      <c r="H6" s="47">
        <v>29.9</v>
      </c>
      <c r="I6" s="16" t="str">
        <f t="shared" si="1"/>
        <v>SEM INFORMAÇÃO DE CUSTOS</v>
      </c>
      <c r="J6" s="5">
        <f t="shared" si="2"/>
        <v>5</v>
      </c>
      <c r="K6" s="5">
        <v>0</v>
      </c>
      <c r="L6" s="5">
        <v>5</v>
      </c>
      <c r="M6" s="5">
        <v>0</v>
      </c>
      <c r="N6" s="48">
        <f t="shared" si="3"/>
        <v>149.5</v>
      </c>
      <c r="O6" s="48">
        <f t="shared" si="4"/>
        <v>0</v>
      </c>
      <c r="P6" s="48">
        <f t="shared" si="5"/>
        <v>149.5</v>
      </c>
      <c r="Q6" s="48">
        <f t="shared" si="6"/>
        <v>0</v>
      </c>
      <c r="R6" s="5" t="s">
        <v>682</v>
      </c>
      <c r="S6" s="5" t="s">
        <v>683</v>
      </c>
      <c r="V6" s="44">
        <f t="shared" si="7"/>
        <v>149.5</v>
      </c>
    </row>
    <row r="7" spans="1:24" x14ac:dyDescent="0.2">
      <c r="A7" s="53">
        <v>1021105</v>
      </c>
      <c r="B7" s="1" t="s">
        <v>38</v>
      </c>
      <c r="C7" s="5" t="s">
        <v>49</v>
      </c>
      <c r="G7" s="47">
        <f t="shared" si="0"/>
        <v>0</v>
      </c>
      <c r="H7" s="47">
        <v>55.9</v>
      </c>
      <c r="I7" s="16" t="str">
        <f t="shared" si="1"/>
        <v>SEM INFORMAÇÃO DE CUSTOS</v>
      </c>
      <c r="J7" s="5">
        <f t="shared" si="2"/>
        <v>1</v>
      </c>
      <c r="K7" s="5">
        <v>1</v>
      </c>
      <c r="L7" s="5">
        <v>0</v>
      </c>
      <c r="M7" s="5">
        <v>0</v>
      </c>
      <c r="N7" s="48">
        <f t="shared" si="3"/>
        <v>0</v>
      </c>
      <c r="O7" s="48">
        <f t="shared" si="4"/>
        <v>55.9</v>
      </c>
      <c r="P7" s="48">
        <f t="shared" si="5"/>
        <v>55.9</v>
      </c>
      <c r="Q7" s="48">
        <f t="shared" si="6"/>
        <v>0</v>
      </c>
      <c r="R7" s="5" t="s">
        <v>682</v>
      </c>
      <c r="S7" s="5" t="s">
        <v>683</v>
      </c>
      <c r="V7" s="44">
        <f t="shared" si="7"/>
        <v>0</v>
      </c>
    </row>
    <row r="8" spans="1:24" x14ac:dyDescent="0.2">
      <c r="A8" s="53">
        <v>1023202</v>
      </c>
      <c r="B8" s="1" t="s">
        <v>39</v>
      </c>
      <c r="C8" s="5" t="s">
        <v>49</v>
      </c>
      <c r="G8" s="47">
        <f t="shared" si="0"/>
        <v>0</v>
      </c>
      <c r="H8" s="47">
        <v>79</v>
      </c>
      <c r="I8" s="16" t="str">
        <f t="shared" si="1"/>
        <v>SEM INFORMAÇÃO DE CUSTOS</v>
      </c>
      <c r="J8" s="5">
        <f t="shared" si="2"/>
        <v>2</v>
      </c>
      <c r="K8" s="5">
        <v>0</v>
      </c>
      <c r="L8" s="5">
        <v>2</v>
      </c>
      <c r="M8" s="5">
        <v>0</v>
      </c>
      <c r="N8" s="48">
        <f t="shared" si="3"/>
        <v>158</v>
      </c>
      <c r="O8" s="48">
        <f t="shared" si="4"/>
        <v>0</v>
      </c>
      <c r="P8" s="48">
        <f t="shared" si="5"/>
        <v>158</v>
      </c>
      <c r="Q8" s="48">
        <f t="shared" si="6"/>
        <v>0</v>
      </c>
      <c r="R8" s="5" t="s">
        <v>682</v>
      </c>
      <c r="S8" s="5" t="s">
        <v>683</v>
      </c>
      <c r="V8" s="44">
        <f t="shared" si="7"/>
        <v>158</v>
      </c>
    </row>
    <row r="9" spans="1:24" x14ac:dyDescent="0.2">
      <c r="A9" s="53">
        <v>1023207</v>
      </c>
      <c r="B9" s="1" t="s">
        <v>40</v>
      </c>
      <c r="C9" s="5" t="s">
        <v>49</v>
      </c>
      <c r="G9" s="47">
        <f t="shared" si="0"/>
        <v>0</v>
      </c>
      <c r="H9" s="47">
        <v>49.9</v>
      </c>
      <c r="I9" s="16" t="str">
        <f t="shared" si="1"/>
        <v>SEM INFORMAÇÃO DE CUSTOS</v>
      </c>
      <c r="J9" s="5">
        <f t="shared" si="2"/>
        <v>1</v>
      </c>
      <c r="K9" s="5">
        <v>0</v>
      </c>
      <c r="L9" s="5">
        <v>1</v>
      </c>
      <c r="M9" s="5">
        <v>0</v>
      </c>
      <c r="N9" s="48">
        <f t="shared" si="3"/>
        <v>49.9</v>
      </c>
      <c r="O9" s="48">
        <f t="shared" si="4"/>
        <v>0</v>
      </c>
      <c r="P9" s="48">
        <f t="shared" si="5"/>
        <v>49.9</v>
      </c>
      <c r="Q9" s="48">
        <f t="shared" si="6"/>
        <v>0</v>
      </c>
      <c r="R9" s="5" t="s">
        <v>682</v>
      </c>
      <c r="S9" s="5" t="s">
        <v>683</v>
      </c>
      <c r="V9" s="44">
        <f t="shared" si="7"/>
        <v>49.9</v>
      </c>
    </row>
    <row r="10" spans="1:24" x14ac:dyDescent="0.2">
      <c r="A10" s="53">
        <v>1023236</v>
      </c>
      <c r="B10" s="1" t="s">
        <v>41</v>
      </c>
      <c r="C10" s="5" t="s">
        <v>49</v>
      </c>
      <c r="G10" s="47">
        <f t="shared" si="0"/>
        <v>0</v>
      </c>
      <c r="H10" s="47">
        <v>42.9</v>
      </c>
      <c r="I10" s="16" t="str">
        <f t="shared" si="1"/>
        <v>SEM INFORMAÇÃO DE CUSTOS</v>
      </c>
      <c r="J10" s="5">
        <f t="shared" si="2"/>
        <v>2</v>
      </c>
      <c r="K10" s="5">
        <v>1</v>
      </c>
      <c r="L10" s="5">
        <v>1</v>
      </c>
      <c r="M10" s="5">
        <v>0</v>
      </c>
      <c r="N10" s="48">
        <f t="shared" si="3"/>
        <v>42.9</v>
      </c>
      <c r="O10" s="48">
        <f t="shared" si="4"/>
        <v>42.9</v>
      </c>
      <c r="P10" s="48">
        <f t="shared" si="5"/>
        <v>85.8</v>
      </c>
      <c r="Q10" s="48">
        <f t="shared" si="6"/>
        <v>0</v>
      </c>
      <c r="R10" s="5" t="s">
        <v>682</v>
      </c>
      <c r="S10" s="5" t="s">
        <v>683</v>
      </c>
      <c r="V10" s="44">
        <f t="shared" si="7"/>
        <v>42.9</v>
      </c>
    </row>
    <row r="11" spans="1:24" x14ac:dyDescent="0.2">
      <c r="A11" s="53">
        <v>1028791</v>
      </c>
      <c r="B11" s="1" t="s">
        <v>42</v>
      </c>
      <c r="C11" s="5" t="s">
        <v>49</v>
      </c>
      <c r="E11" s="47">
        <v>1.76</v>
      </c>
      <c r="F11" s="47">
        <v>2.08</v>
      </c>
      <c r="G11" s="47">
        <f t="shared" si="0"/>
        <v>3.84</v>
      </c>
      <c r="H11" s="47">
        <v>49.9</v>
      </c>
      <c r="I11" s="16">
        <f t="shared" si="1"/>
        <v>12.994791666666666</v>
      </c>
      <c r="J11" s="5">
        <f t="shared" si="2"/>
        <v>5</v>
      </c>
      <c r="K11" s="5">
        <v>0</v>
      </c>
      <c r="L11" s="5">
        <v>5</v>
      </c>
      <c r="M11" s="5">
        <v>0</v>
      </c>
      <c r="N11" s="48">
        <f t="shared" si="3"/>
        <v>249.5</v>
      </c>
      <c r="O11" s="48">
        <f t="shared" si="4"/>
        <v>0</v>
      </c>
      <c r="P11" s="48">
        <f t="shared" si="5"/>
        <v>249.5</v>
      </c>
      <c r="Q11" s="48">
        <f t="shared" si="6"/>
        <v>19.2</v>
      </c>
      <c r="R11" s="5" t="s">
        <v>682</v>
      </c>
      <c r="S11" s="5" t="s">
        <v>683</v>
      </c>
      <c r="V11" s="44">
        <f t="shared" si="7"/>
        <v>249.5</v>
      </c>
    </row>
    <row r="12" spans="1:24" x14ac:dyDescent="0.2">
      <c r="A12" s="53">
        <v>1029018</v>
      </c>
      <c r="B12" s="1" t="s">
        <v>43</v>
      </c>
      <c r="C12" s="5" t="s">
        <v>49</v>
      </c>
      <c r="G12" s="47">
        <f t="shared" si="0"/>
        <v>0</v>
      </c>
      <c r="H12" s="47">
        <v>89.9</v>
      </c>
      <c r="I12" s="16" t="str">
        <f t="shared" si="1"/>
        <v>SEM INFORMAÇÃO DE CUSTOS</v>
      </c>
      <c r="J12" s="5">
        <f t="shared" si="2"/>
        <v>1</v>
      </c>
      <c r="K12" s="5">
        <v>0</v>
      </c>
      <c r="L12" s="5">
        <v>1</v>
      </c>
      <c r="M12" s="5">
        <v>0</v>
      </c>
      <c r="N12" s="48">
        <f t="shared" si="3"/>
        <v>89.9</v>
      </c>
      <c r="O12" s="48">
        <f t="shared" si="4"/>
        <v>0</v>
      </c>
      <c r="P12" s="48">
        <f t="shared" si="5"/>
        <v>89.9</v>
      </c>
      <c r="Q12" s="48">
        <f t="shared" si="6"/>
        <v>0</v>
      </c>
      <c r="R12" s="5" t="s">
        <v>682</v>
      </c>
      <c r="S12" s="5" t="s">
        <v>683</v>
      </c>
      <c r="V12" s="44">
        <f t="shared" si="7"/>
        <v>89.9</v>
      </c>
    </row>
    <row r="13" spans="1:24" x14ac:dyDescent="0.2">
      <c r="A13" s="53">
        <v>1030484</v>
      </c>
      <c r="B13" s="1" t="s">
        <v>44</v>
      </c>
      <c r="C13" s="5" t="s">
        <v>44</v>
      </c>
      <c r="G13" s="47">
        <f t="shared" si="0"/>
        <v>0</v>
      </c>
      <c r="H13" s="47">
        <v>77.900000000000006</v>
      </c>
      <c r="I13" s="16" t="str">
        <f t="shared" si="1"/>
        <v>SEM INFORMAÇÃO DE CUSTOS</v>
      </c>
      <c r="J13" s="5">
        <f t="shared" si="2"/>
        <v>2</v>
      </c>
      <c r="K13" s="5">
        <v>0</v>
      </c>
      <c r="L13" s="5">
        <v>2</v>
      </c>
      <c r="M13" s="5">
        <v>0</v>
      </c>
      <c r="N13" s="48">
        <f t="shared" si="3"/>
        <v>155.80000000000001</v>
      </c>
      <c r="O13" s="48">
        <f t="shared" si="4"/>
        <v>0</v>
      </c>
      <c r="P13" s="48">
        <f t="shared" si="5"/>
        <v>155.80000000000001</v>
      </c>
      <c r="Q13" s="48">
        <f t="shared" si="6"/>
        <v>0</v>
      </c>
      <c r="R13" s="5" t="s">
        <v>682</v>
      </c>
      <c r="S13" s="5" t="s">
        <v>683</v>
      </c>
      <c r="V13" s="44">
        <f t="shared" si="7"/>
        <v>155.80000000000001</v>
      </c>
    </row>
    <row r="14" spans="1:24" x14ac:dyDescent="0.2">
      <c r="A14" s="53">
        <v>1032083</v>
      </c>
      <c r="B14" s="1" t="s">
        <v>45</v>
      </c>
      <c r="C14" s="5" t="s">
        <v>49</v>
      </c>
      <c r="G14" s="47">
        <f t="shared" si="0"/>
        <v>0</v>
      </c>
      <c r="H14" s="47">
        <v>81.900000000000006</v>
      </c>
      <c r="I14" s="16" t="str">
        <f t="shared" si="1"/>
        <v>SEM INFORMAÇÃO DE CUSTOS</v>
      </c>
      <c r="J14" s="5">
        <f t="shared" si="2"/>
        <v>2</v>
      </c>
      <c r="K14" s="5">
        <v>0</v>
      </c>
      <c r="L14" s="5">
        <v>2</v>
      </c>
      <c r="M14" s="5">
        <v>0</v>
      </c>
      <c r="N14" s="48">
        <f t="shared" si="3"/>
        <v>163.80000000000001</v>
      </c>
      <c r="O14" s="48">
        <f t="shared" si="4"/>
        <v>0</v>
      </c>
      <c r="P14" s="48">
        <f t="shared" si="5"/>
        <v>163.80000000000001</v>
      </c>
      <c r="Q14" s="48">
        <f t="shared" si="6"/>
        <v>0</v>
      </c>
      <c r="R14" s="5" t="s">
        <v>682</v>
      </c>
      <c r="S14" s="5" t="s">
        <v>683</v>
      </c>
      <c r="V14" s="44">
        <f t="shared" si="7"/>
        <v>163.80000000000001</v>
      </c>
    </row>
    <row r="15" spans="1:24" x14ac:dyDescent="0.2">
      <c r="A15" s="53">
        <v>1032614</v>
      </c>
      <c r="B15" s="1" t="s">
        <v>46</v>
      </c>
      <c r="C15" s="5" t="s">
        <v>49</v>
      </c>
      <c r="G15" s="47">
        <f t="shared" si="0"/>
        <v>0</v>
      </c>
      <c r="H15" s="47">
        <v>47.9</v>
      </c>
      <c r="I15" s="16" t="str">
        <f t="shared" si="1"/>
        <v>SEM INFORMAÇÃO DE CUSTOS</v>
      </c>
      <c r="J15" s="5">
        <f t="shared" si="2"/>
        <v>2</v>
      </c>
      <c r="K15" s="5">
        <v>0</v>
      </c>
      <c r="L15" s="5">
        <v>2</v>
      </c>
      <c r="M15" s="5">
        <v>0</v>
      </c>
      <c r="N15" s="48">
        <f t="shared" si="3"/>
        <v>95.8</v>
      </c>
      <c r="O15" s="48">
        <f t="shared" si="4"/>
        <v>0</v>
      </c>
      <c r="P15" s="48">
        <f t="shared" si="5"/>
        <v>95.8</v>
      </c>
      <c r="Q15" s="48">
        <f t="shared" si="6"/>
        <v>0</v>
      </c>
      <c r="R15" s="5" t="s">
        <v>682</v>
      </c>
      <c r="S15" s="5" t="s">
        <v>683</v>
      </c>
      <c r="V15" s="44">
        <f t="shared" si="7"/>
        <v>95.8</v>
      </c>
    </row>
    <row r="16" spans="1:24" x14ac:dyDescent="0.2">
      <c r="A16" s="53">
        <v>1032868</v>
      </c>
      <c r="B16" s="1" t="s">
        <v>47</v>
      </c>
      <c r="C16" s="5" t="s">
        <v>49</v>
      </c>
      <c r="G16" s="47">
        <f t="shared" si="0"/>
        <v>0</v>
      </c>
      <c r="H16" s="47">
        <v>95.9</v>
      </c>
      <c r="I16" s="16" t="str">
        <f t="shared" si="1"/>
        <v>SEM INFORMAÇÃO DE CUSTOS</v>
      </c>
      <c r="J16" s="5">
        <f t="shared" si="2"/>
        <v>1</v>
      </c>
      <c r="K16" s="5">
        <v>0</v>
      </c>
      <c r="L16" s="5">
        <v>1</v>
      </c>
      <c r="M16" s="5">
        <v>0</v>
      </c>
      <c r="N16" s="48">
        <f t="shared" si="3"/>
        <v>95.9</v>
      </c>
      <c r="O16" s="48">
        <f t="shared" si="4"/>
        <v>0</v>
      </c>
      <c r="P16" s="48">
        <f t="shared" si="5"/>
        <v>95.9</v>
      </c>
      <c r="Q16" s="48">
        <f t="shared" si="6"/>
        <v>0</v>
      </c>
      <c r="R16" s="5" t="s">
        <v>682</v>
      </c>
      <c r="S16" s="5" t="s">
        <v>683</v>
      </c>
      <c r="V16" s="44">
        <f t="shared" si="7"/>
        <v>95.9</v>
      </c>
    </row>
    <row r="17" spans="1:22" x14ac:dyDescent="0.2">
      <c r="A17" s="53">
        <v>1032894</v>
      </c>
      <c r="B17" s="1" t="s">
        <v>48</v>
      </c>
      <c r="C17" s="5" t="s">
        <v>49</v>
      </c>
      <c r="G17" s="47">
        <f t="shared" si="0"/>
        <v>0</v>
      </c>
      <c r="H17" s="47">
        <v>69.900000000000006</v>
      </c>
      <c r="I17" s="16" t="str">
        <f t="shared" si="1"/>
        <v>SEM INFORMAÇÃO DE CUSTOS</v>
      </c>
      <c r="J17" s="5">
        <f t="shared" si="2"/>
        <v>1</v>
      </c>
      <c r="K17" s="5">
        <v>0</v>
      </c>
      <c r="L17" s="5">
        <v>1</v>
      </c>
      <c r="M17" s="5">
        <v>0</v>
      </c>
      <c r="N17" s="48">
        <f t="shared" si="3"/>
        <v>69.900000000000006</v>
      </c>
      <c r="O17" s="48">
        <f t="shared" si="4"/>
        <v>0</v>
      </c>
      <c r="P17" s="48">
        <f t="shared" si="5"/>
        <v>69.900000000000006</v>
      </c>
      <c r="Q17" s="48">
        <f t="shared" si="6"/>
        <v>0</v>
      </c>
      <c r="R17" s="5" t="s">
        <v>682</v>
      </c>
      <c r="S17" s="5" t="s">
        <v>683</v>
      </c>
      <c r="V17" s="44">
        <f t="shared" si="7"/>
        <v>69.900000000000006</v>
      </c>
    </row>
    <row r="18" spans="1:22" x14ac:dyDescent="0.2">
      <c r="A18" s="53">
        <v>1033924</v>
      </c>
      <c r="B18" s="1" t="s">
        <v>49</v>
      </c>
      <c r="C18" s="5" t="s">
        <v>49</v>
      </c>
      <c r="E18" s="47">
        <v>10.6</v>
      </c>
      <c r="F18" s="47">
        <v>6.25</v>
      </c>
      <c r="G18" s="47">
        <f t="shared" si="0"/>
        <v>16.850000000000001</v>
      </c>
      <c r="H18" s="47">
        <v>87.9</v>
      </c>
      <c r="I18" s="16">
        <f t="shared" si="1"/>
        <v>5.2166172106824922</v>
      </c>
      <c r="J18" s="5">
        <f t="shared" si="2"/>
        <v>3</v>
      </c>
      <c r="K18" s="5">
        <v>0</v>
      </c>
      <c r="L18" s="5">
        <v>3</v>
      </c>
      <c r="M18" s="5">
        <v>0</v>
      </c>
      <c r="N18" s="48">
        <f t="shared" si="3"/>
        <v>263.70000000000005</v>
      </c>
      <c r="O18" s="48">
        <f t="shared" si="4"/>
        <v>0</v>
      </c>
      <c r="P18" s="48">
        <f t="shared" si="5"/>
        <v>263.70000000000005</v>
      </c>
      <c r="Q18" s="48">
        <f t="shared" si="6"/>
        <v>50.550000000000004</v>
      </c>
      <c r="R18" s="5" t="s">
        <v>682</v>
      </c>
      <c r="S18" s="5" t="s">
        <v>683</v>
      </c>
      <c r="V18" s="44">
        <f t="shared" si="7"/>
        <v>263.70000000000005</v>
      </c>
    </row>
    <row r="19" spans="1:22" x14ac:dyDescent="0.2">
      <c r="A19" s="53">
        <v>1034164</v>
      </c>
      <c r="B19" s="1" t="s">
        <v>50</v>
      </c>
      <c r="C19" s="5" t="s">
        <v>49</v>
      </c>
      <c r="E19" s="47">
        <v>26.31</v>
      </c>
      <c r="F19" s="47">
        <v>24.7</v>
      </c>
      <c r="G19" s="47">
        <f t="shared" si="0"/>
        <v>51.01</v>
      </c>
      <c r="H19" s="47">
        <v>237.9</v>
      </c>
      <c r="I19" s="16">
        <f t="shared" si="1"/>
        <v>4.6637914134483438</v>
      </c>
      <c r="J19" s="5">
        <f t="shared" si="2"/>
        <v>2</v>
      </c>
      <c r="K19" s="5">
        <v>0</v>
      </c>
      <c r="L19" s="5">
        <v>2</v>
      </c>
      <c r="M19" s="5">
        <v>0</v>
      </c>
      <c r="N19" s="48">
        <f t="shared" si="3"/>
        <v>475.8</v>
      </c>
      <c r="O19" s="48">
        <f t="shared" si="4"/>
        <v>0</v>
      </c>
      <c r="P19" s="48">
        <f t="shared" si="5"/>
        <v>475.8</v>
      </c>
      <c r="Q19" s="48">
        <f t="shared" si="6"/>
        <v>102.02</v>
      </c>
      <c r="R19" s="5" t="s">
        <v>682</v>
      </c>
      <c r="S19" s="5" t="s">
        <v>683</v>
      </c>
      <c r="V19" s="44">
        <f t="shared" si="7"/>
        <v>475.8</v>
      </c>
    </row>
    <row r="20" spans="1:22" x14ac:dyDescent="0.2">
      <c r="A20" s="53">
        <v>1034440</v>
      </c>
      <c r="B20" s="1" t="s">
        <v>51</v>
      </c>
      <c r="C20" s="5" t="s">
        <v>49</v>
      </c>
      <c r="G20" s="47">
        <f t="shared" si="0"/>
        <v>0</v>
      </c>
      <c r="H20" s="47">
        <v>39.9</v>
      </c>
      <c r="I20" s="16" t="str">
        <f t="shared" si="1"/>
        <v>SEM INFORMAÇÃO DE CUSTOS</v>
      </c>
      <c r="J20" s="5">
        <f t="shared" si="2"/>
        <v>2</v>
      </c>
      <c r="K20" s="5">
        <v>0</v>
      </c>
      <c r="L20" s="5">
        <v>2</v>
      </c>
      <c r="M20" s="5">
        <v>0</v>
      </c>
      <c r="N20" s="48">
        <f t="shared" si="3"/>
        <v>79.8</v>
      </c>
      <c r="O20" s="48">
        <f t="shared" si="4"/>
        <v>0</v>
      </c>
      <c r="P20" s="48">
        <f t="shared" si="5"/>
        <v>79.8</v>
      </c>
      <c r="Q20" s="48">
        <f t="shared" si="6"/>
        <v>0</v>
      </c>
      <c r="R20" s="5" t="s">
        <v>682</v>
      </c>
      <c r="S20" s="5" t="s">
        <v>683</v>
      </c>
      <c r="V20" s="44">
        <f t="shared" si="7"/>
        <v>79.8</v>
      </c>
    </row>
    <row r="21" spans="1:22" x14ac:dyDescent="0.2">
      <c r="A21" s="53">
        <v>1034632</v>
      </c>
      <c r="B21" s="1" t="s">
        <v>52</v>
      </c>
      <c r="C21" s="5" t="s">
        <v>49</v>
      </c>
      <c r="G21" s="47">
        <f t="shared" si="0"/>
        <v>0</v>
      </c>
      <c r="H21" s="47">
        <v>51.9</v>
      </c>
      <c r="I21" s="16" t="str">
        <f t="shared" si="1"/>
        <v>SEM INFORMAÇÃO DE CUSTOS</v>
      </c>
      <c r="J21" s="5">
        <f t="shared" si="2"/>
        <v>5</v>
      </c>
      <c r="K21" s="5">
        <v>0</v>
      </c>
      <c r="L21" s="5">
        <v>5</v>
      </c>
      <c r="M21" s="5">
        <v>0</v>
      </c>
      <c r="N21" s="48">
        <f t="shared" si="3"/>
        <v>259.5</v>
      </c>
      <c r="O21" s="48">
        <f t="shared" si="4"/>
        <v>0</v>
      </c>
      <c r="P21" s="48">
        <f t="shared" si="5"/>
        <v>259.5</v>
      </c>
      <c r="Q21" s="48">
        <f t="shared" si="6"/>
        <v>0</v>
      </c>
      <c r="R21" s="5" t="s">
        <v>682</v>
      </c>
      <c r="S21" s="5" t="s">
        <v>683</v>
      </c>
      <c r="V21" s="44">
        <f t="shared" si="7"/>
        <v>259.5</v>
      </c>
    </row>
    <row r="22" spans="1:22" x14ac:dyDescent="0.2">
      <c r="A22" s="53">
        <v>1034797</v>
      </c>
      <c r="B22" s="1" t="s">
        <v>53</v>
      </c>
      <c r="C22" s="5" t="s">
        <v>49</v>
      </c>
      <c r="G22" s="47">
        <f t="shared" si="0"/>
        <v>0</v>
      </c>
      <c r="H22" s="47">
        <v>69.900000000000006</v>
      </c>
      <c r="I22" s="16" t="str">
        <f t="shared" si="1"/>
        <v>SEM INFORMAÇÃO DE CUSTOS</v>
      </c>
      <c r="J22" s="5">
        <f t="shared" si="2"/>
        <v>1</v>
      </c>
      <c r="K22" s="5">
        <v>0</v>
      </c>
      <c r="L22" s="5">
        <v>1</v>
      </c>
      <c r="M22" s="5">
        <v>0</v>
      </c>
      <c r="N22" s="48">
        <f t="shared" si="3"/>
        <v>69.900000000000006</v>
      </c>
      <c r="O22" s="48">
        <f t="shared" si="4"/>
        <v>0</v>
      </c>
      <c r="P22" s="48">
        <f t="shared" si="5"/>
        <v>69.900000000000006</v>
      </c>
      <c r="Q22" s="48">
        <f t="shared" si="6"/>
        <v>0</v>
      </c>
      <c r="R22" s="5" t="s">
        <v>682</v>
      </c>
      <c r="S22" s="5" t="s">
        <v>683</v>
      </c>
      <c r="V22" s="44">
        <f t="shared" si="7"/>
        <v>69.900000000000006</v>
      </c>
    </row>
    <row r="23" spans="1:22" x14ac:dyDescent="0.2">
      <c r="A23" s="53">
        <v>1034970</v>
      </c>
      <c r="B23" s="1" t="s">
        <v>49</v>
      </c>
      <c r="C23" s="5" t="s">
        <v>49</v>
      </c>
      <c r="G23" s="47">
        <f t="shared" si="0"/>
        <v>0</v>
      </c>
      <c r="H23" s="47">
        <v>58.9</v>
      </c>
      <c r="I23" s="16" t="str">
        <f t="shared" si="1"/>
        <v>SEM INFORMAÇÃO DE CUSTOS</v>
      </c>
      <c r="J23" s="5">
        <f t="shared" si="2"/>
        <v>1</v>
      </c>
      <c r="K23" s="5">
        <v>0</v>
      </c>
      <c r="L23" s="5">
        <v>1</v>
      </c>
      <c r="M23" s="5">
        <v>0</v>
      </c>
      <c r="N23" s="48">
        <f t="shared" si="3"/>
        <v>58.9</v>
      </c>
      <c r="O23" s="48">
        <f t="shared" si="4"/>
        <v>0</v>
      </c>
      <c r="P23" s="48">
        <f t="shared" si="5"/>
        <v>58.9</v>
      </c>
      <c r="Q23" s="48">
        <f t="shared" si="6"/>
        <v>0</v>
      </c>
      <c r="R23" s="5" t="s">
        <v>682</v>
      </c>
      <c r="S23" s="5" t="s">
        <v>683</v>
      </c>
      <c r="V23" s="44">
        <f t="shared" si="7"/>
        <v>58.9</v>
      </c>
    </row>
    <row r="24" spans="1:22" x14ac:dyDescent="0.2">
      <c r="A24" s="53">
        <v>1035418</v>
      </c>
      <c r="B24" s="1" t="s">
        <v>54</v>
      </c>
      <c r="C24" s="5" t="s">
        <v>49</v>
      </c>
      <c r="E24" s="47">
        <v>4.05</v>
      </c>
      <c r="F24" s="47">
        <v>5.95</v>
      </c>
      <c r="G24" s="47">
        <f t="shared" si="0"/>
        <v>10</v>
      </c>
      <c r="H24" s="47">
        <v>59.9</v>
      </c>
      <c r="I24" s="16">
        <f t="shared" si="1"/>
        <v>5.99</v>
      </c>
      <c r="J24" s="5">
        <f t="shared" si="2"/>
        <v>4</v>
      </c>
      <c r="K24" s="5">
        <v>0</v>
      </c>
      <c r="L24" s="5">
        <v>4</v>
      </c>
      <c r="M24" s="5">
        <v>0</v>
      </c>
      <c r="N24" s="48">
        <f t="shared" si="3"/>
        <v>239.6</v>
      </c>
      <c r="O24" s="48">
        <f t="shared" si="4"/>
        <v>0</v>
      </c>
      <c r="P24" s="48">
        <f t="shared" si="5"/>
        <v>239.6</v>
      </c>
      <c r="Q24" s="48">
        <f t="shared" si="6"/>
        <v>40</v>
      </c>
      <c r="R24" s="5" t="s">
        <v>682</v>
      </c>
      <c r="S24" s="5" t="s">
        <v>683</v>
      </c>
      <c r="V24" s="44">
        <f t="shared" si="7"/>
        <v>239.6</v>
      </c>
    </row>
    <row r="25" spans="1:22" x14ac:dyDescent="0.2">
      <c r="A25" s="53">
        <v>1035811</v>
      </c>
      <c r="B25" s="1" t="s">
        <v>55</v>
      </c>
      <c r="C25" s="5" t="s">
        <v>49</v>
      </c>
      <c r="G25" s="47">
        <f t="shared" si="0"/>
        <v>0</v>
      </c>
      <c r="H25" s="47">
        <v>68.900000000000006</v>
      </c>
      <c r="I25" s="16" t="str">
        <f t="shared" si="1"/>
        <v>SEM INFORMAÇÃO DE CUSTOS</v>
      </c>
      <c r="J25" s="5">
        <f t="shared" si="2"/>
        <v>1</v>
      </c>
      <c r="K25" s="5">
        <v>0</v>
      </c>
      <c r="L25" s="5">
        <v>1</v>
      </c>
      <c r="M25" s="5">
        <v>0</v>
      </c>
      <c r="N25" s="48">
        <f t="shared" si="3"/>
        <v>68.900000000000006</v>
      </c>
      <c r="O25" s="48">
        <f t="shared" si="4"/>
        <v>0</v>
      </c>
      <c r="P25" s="48">
        <f t="shared" si="5"/>
        <v>68.900000000000006</v>
      </c>
      <c r="Q25" s="48">
        <f t="shared" si="6"/>
        <v>0</v>
      </c>
      <c r="R25" s="5" t="s">
        <v>682</v>
      </c>
      <c r="S25" s="5" t="s">
        <v>683</v>
      </c>
      <c r="V25" s="44">
        <f t="shared" si="7"/>
        <v>68.900000000000006</v>
      </c>
    </row>
    <row r="26" spans="1:22" x14ac:dyDescent="0.2">
      <c r="A26" s="53">
        <v>1035842</v>
      </c>
      <c r="B26" s="1" t="s">
        <v>56</v>
      </c>
      <c r="C26" s="5" t="s">
        <v>49</v>
      </c>
      <c r="G26" s="47">
        <f t="shared" si="0"/>
        <v>0</v>
      </c>
      <c r="H26" s="47">
        <v>44.9</v>
      </c>
      <c r="I26" s="16" t="str">
        <f t="shared" si="1"/>
        <v>SEM INFORMAÇÃO DE CUSTOS</v>
      </c>
      <c r="J26" s="5">
        <f t="shared" si="2"/>
        <v>1</v>
      </c>
      <c r="K26" s="5">
        <v>0</v>
      </c>
      <c r="L26" s="5">
        <v>1</v>
      </c>
      <c r="M26" s="5">
        <v>0</v>
      </c>
      <c r="N26" s="48">
        <f t="shared" si="3"/>
        <v>44.9</v>
      </c>
      <c r="O26" s="48">
        <f t="shared" si="4"/>
        <v>0</v>
      </c>
      <c r="P26" s="48">
        <f t="shared" si="5"/>
        <v>44.9</v>
      </c>
      <c r="Q26" s="48">
        <f t="shared" si="6"/>
        <v>0</v>
      </c>
      <c r="R26" s="5" t="s">
        <v>682</v>
      </c>
      <c r="S26" s="5" t="s">
        <v>683</v>
      </c>
      <c r="V26" s="44">
        <f t="shared" si="7"/>
        <v>44.9</v>
      </c>
    </row>
    <row r="27" spans="1:22" x14ac:dyDescent="0.2">
      <c r="A27" s="53">
        <v>1036051</v>
      </c>
      <c r="B27" s="1" t="s">
        <v>57</v>
      </c>
      <c r="C27" s="5" t="s">
        <v>49</v>
      </c>
      <c r="G27" s="47">
        <f t="shared" si="0"/>
        <v>0</v>
      </c>
      <c r="H27" s="47">
        <v>129.9</v>
      </c>
      <c r="I27" s="16" t="str">
        <f t="shared" si="1"/>
        <v>SEM INFORMAÇÃO DE CUSTOS</v>
      </c>
      <c r="J27" s="5">
        <f t="shared" si="2"/>
        <v>1</v>
      </c>
      <c r="K27" s="5">
        <v>0</v>
      </c>
      <c r="L27" s="5">
        <v>1</v>
      </c>
      <c r="M27" s="5">
        <v>0</v>
      </c>
      <c r="N27" s="48">
        <f t="shared" si="3"/>
        <v>129.9</v>
      </c>
      <c r="O27" s="48">
        <f t="shared" si="4"/>
        <v>0</v>
      </c>
      <c r="P27" s="48">
        <f t="shared" si="5"/>
        <v>129.9</v>
      </c>
      <c r="Q27" s="48">
        <f t="shared" si="6"/>
        <v>0</v>
      </c>
      <c r="R27" s="5" t="s">
        <v>682</v>
      </c>
      <c r="S27" s="5" t="s">
        <v>683</v>
      </c>
      <c r="V27" s="44">
        <f t="shared" si="7"/>
        <v>129.9</v>
      </c>
    </row>
    <row r="28" spans="1:22" x14ac:dyDescent="0.2">
      <c r="A28" s="53">
        <v>1036063</v>
      </c>
      <c r="B28" s="1" t="s">
        <v>58</v>
      </c>
      <c r="C28" s="5" t="s">
        <v>49</v>
      </c>
      <c r="G28" s="47">
        <f t="shared" si="0"/>
        <v>0</v>
      </c>
      <c r="H28" s="47">
        <v>217.9</v>
      </c>
      <c r="I28" s="16" t="str">
        <f t="shared" si="1"/>
        <v>SEM INFORMAÇÃO DE CUSTOS</v>
      </c>
      <c r="J28" s="5">
        <f t="shared" si="2"/>
        <v>1</v>
      </c>
      <c r="K28" s="5">
        <v>0</v>
      </c>
      <c r="L28" s="5">
        <v>1</v>
      </c>
      <c r="M28" s="5">
        <v>0</v>
      </c>
      <c r="N28" s="48">
        <f t="shared" si="3"/>
        <v>217.9</v>
      </c>
      <c r="O28" s="48">
        <f t="shared" si="4"/>
        <v>0</v>
      </c>
      <c r="P28" s="48">
        <f t="shared" si="5"/>
        <v>217.9</v>
      </c>
      <c r="Q28" s="48">
        <f t="shared" si="6"/>
        <v>0</v>
      </c>
      <c r="R28" s="5" t="s">
        <v>682</v>
      </c>
      <c r="S28" s="5" t="s">
        <v>683</v>
      </c>
      <c r="V28" s="44">
        <f t="shared" si="7"/>
        <v>217.9</v>
      </c>
    </row>
    <row r="29" spans="1:22" x14ac:dyDescent="0.2">
      <c r="A29" s="53">
        <v>1036277</v>
      </c>
      <c r="B29" s="1" t="s">
        <v>59</v>
      </c>
      <c r="C29" s="5" t="s">
        <v>49</v>
      </c>
      <c r="G29" s="47">
        <f t="shared" si="0"/>
        <v>0</v>
      </c>
      <c r="H29" s="47">
        <v>85.75</v>
      </c>
      <c r="I29" s="16" t="str">
        <f t="shared" si="1"/>
        <v>SEM INFORMAÇÃO DE CUSTOS</v>
      </c>
      <c r="J29" s="5">
        <f t="shared" si="2"/>
        <v>0</v>
      </c>
      <c r="K29" s="5">
        <v>0</v>
      </c>
      <c r="L29" s="5">
        <v>0</v>
      </c>
      <c r="M29" s="5">
        <v>0</v>
      </c>
      <c r="N29" s="48">
        <f t="shared" si="3"/>
        <v>0</v>
      </c>
      <c r="O29" s="48">
        <f t="shared" si="4"/>
        <v>0</v>
      </c>
      <c r="P29" s="48">
        <f t="shared" si="5"/>
        <v>0</v>
      </c>
      <c r="Q29" s="48">
        <f t="shared" si="6"/>
        <v>0</v>
      </c>
      <c r="R29" s="5" t="s">
        <v>682</v>
      </c>
      <c r="S29" s="5" t="s">
        <v>683</v>
      </c>
      <c r="V29" s="44">
        <f t="shared" si="7"/>
        <v>0</v>
      </c>
    </row>
    <row r="30" spans="1:22" x14ac:dyDescent="0.2">
      <c r="A30" s="53">
        <v>1036622</v>
      </c>
      <c r="B30" s="1" t="s">
        <v>60</v>
      </c>
      <c r="C30" s="5" t="s">
        <v>49</v>
      </c>
      <c r="G30" s="47">
        <f t="shared" si="0"/>
        <v>0</v>
      </c>
      <c r="H30" s="47">
        <v>74.900000000000006</v>
      </c>
      <c r="I30" s="16" t="str">
        <f t="shared" si="1"/>
        <v>SEM INFORMAÇÃO DE CUSTOS</v>
      </c>
      <c r="J30" s="5">
        <f t="shared" si="2"/>
        <v>1</v>
      </c>
      <c r="K30" s="5">
        <v>0</v>
      </c>
      <c r="L30" s="5">
        <v>1</v>
      </c>
      <c r="M30" s="5">
        <v>0</v>
      </c>
      <c r="N30" s="48">
        <f t="shared" si="3"/>
        <v>74.900000000000006</v>
      </c>
      <c r="O30" s="48">
        <f t="shared" si="4"/>
        <v>0</v>
      </c>
      <c r="P30" s="48">
        <f t="shared" si="5"/>
        <v>74.900000000000006</v>
      </c>
      <c r="Q30" s="48">
        <f t="shared" si="6"/>
        <v>0</v>
      </c>
      <c r="R30" s="5" t="s">
        <v>682</v>
      </c>
      <c r="S30" s="5" t="s">
        <v>683</v>
      </c>
      <c r="V30" s="44">
        <f t="shared" si="7"/>
        <v>74.900000000000006</v>
      </c>
    </row>
    <row r="31" spans="1:22" x14ac:dyDescent="0.2">
      <c r="A31" s="53">
        <v>1036820</v>
      </c>
      <c r="B31" s="1" t="s">
        <v>61</v>
      </c>
      <c r="C31" s="5" t="s">
        <v>49</v>
      </c>
      <c r="G31" s="47">
        <f t="shared" si="0"/>
        <v>0</v>
      </c>
      <c r="H31" s="47">
        <v>159.9</v>
      </c>
      <c r="I31" s="16" t="str">
        <f t="shared" si="1"/>
        <v>SEM INFORMAÇÃO DE CUSTOS</v>
      </c>
      <c r="J31" s="5">
        <f t="shared" si="2"/>
        <v>1</v>
      </c>
      <c r="K31" s="5">
        <v>0</v>
      </c>
      <c r="L31" s="5">
        <v>1</v>
      </c>
      <c r="M31" s="5">
        <v>0</v>
      </c>
      <c r="N31" s="48">
        <f t="shared" si="3"/>
        <v>159.9</v>
      </c>
      <c r="O31" s="48">
        <f t="shared" si="4"/>
        <v>0</v>
      </c>
      <c r="P31" s="48">
        <f t="shared" si="5"/>
        <v>159.9</v>
      </c>
      <c r="Q31" s="48">
        <f t="shared" si="6"/>
        <v>0</v>
      </c>
      <c r="R31" s="5" t="s">
        <v>682</v>
      </c>
      <c r="S31" s="5" t="s">
        <v>683</v>
      </c>
      <c r="V31" s="44">
        <f t="shared" si="7"/>
        <v>159.9</v>
      </c>
    </row>
    <row r="32" spans="1:22" x14ac:dyDescent="0.2">
      <c r="A32" s="53">
        <v>1036823</v>
      </c>
      <c r="B32" s="1" t="s">
        <v>62</v>
      </c>
      <c r="C32" s="5" t="s">
        <v>49</v>
      </c>
      <c r="G32" s="47">
        <f t="shared" si="0"/>
        <v>0</v>
      </c>
      <c r="H32" s="47">
        <v>119</v>
      </c>
      <c r="I32" s="16" t="str">
        <f t="shared" si="1"/>
        <v>SEM INFORMAÇÃO DE CUSTOS</v>
      </c>
      <c r="J32" s="5">
        <f t="shared" si="2"/>
        <v>1</v>
      </c>
      <c r="K32" s="5">
        <v>0</v>
      </c>
      <c r="L32" s="5">
        <v>1</v>
      </c>
      <c r="M32" s="5">
        <v>0</v>
      </c>
      <c r="N32" s="48">
        <f t="shared" si="3"/>
        <v>119</v>
      </c>
      <c r="O32" s="48">
        <f t="shared" si="4"/>
        <v>0</v>
      </c>
      <c r="P32" s="48">
        <f t="shared" si="5"/>
        <v>119</v>
      </c>
      <c r="Q32" s="48">
        <f t="shared" si="6"/>
        <v>0</v>
      </c>
      <c r="R32" s="5" t="s">
        <v>682</v>
      </c>
      <c r="S32" s="5" t="s">
        <v>683</v>
      </c>
      <c r="V32" s="44">
        <f t="shared" si="7"/>
        <v>119</v>
      </c>
    </row>
    <row r="33" spans="1:22" x14ac:dyDescent="0.2">
      <c r="A33" s="53">
        <v>1037531</v>
      </c>
      <c r="B33" s="1" t="s">
        <v>63</v>
      </c>
      <c r="C33" s="5" t="s">
        <v>49</v>
      </c>
      <c r="G33" s="47">
        <f t="shared" si="0"/>
        <v>0</v>
      </c>
      <c r="H33" s="47">
        <v>169.9</v>
      </c>
      <c r="I33" s="16" t="str">
        <f t="shared" si="1"/>
        <v>SEM INFORMAÇÃO DE CUSTOS</v>
      </c>
      <c r="J33" s="5">
        <f t="shared" si="2"/>
        <v>2</v>
      </c>
      <c r="K33" s="5">
        <v>1</v>
      </c>
      <c r="L33" s="5">
        <v>1</v>
      </c>
      <c r="M33" s="5">
        <v>0</v>
      </c>
      <c r="N33" s="48">
        <f t="shared" si="3"/>
        <v>169.9</v>
      </c>
      <c r="O33" s="48">
        <f t="shared" si="4"/>
        <v>169.9</v>
      </c>
      <c r="P33" s="48">
        <f t="shared" si="5"/>
        <v>339.8</v>
      </c>
      <c r="Q33" s="48">
        <f t="shared" si="6"/>
        <v>0</v>
      </c>
      <c r="R33" s="5" t="s">
        <v>682</v>
      </c>
      <c r="S33" s="5" t="s">
        <v>683</v>
      </c>
      <c r="V33" s="44">
        <f t="shared" si="7"/>
        <v>169.9</v>
      </c>
    </row>
    <row r="34" spans="1:22" x14ac:dyDescent="0.2">
      <c r="A34" s="53">
        <v>1037683</v>
      </c>
      <c r="B34" s="1" t="s">
        <v>64</v>
      </c>
      <c r="C34" s="5" t="s">
        <v>49</v>
      </c>
      <c r="G34" s="47">
        <f t="shared" si="0"/>
        <v>0</v>
      </c>
      <c r="H34" s="47">
        <v>39.9</v>
      </c>
      <c r="I34" s="16" t="str">
        <f t="shared" si="1"/>
        <v>SEM INFORMAÇÃO DE CUSTOS</v>
      </c>
      <c r="J34" s="5">
        <f t="shared" si="2"/>
        <v>1</v>
      </c>
      <c r="K34" s="5">
        <v>0</v>
      </c>
      <c r="L34" s="5">
        <v>1</v>
      </c>
      <c r="M34" s="5">
        <v>0</v>
      </c>
      <c r="N34" s="48">
        <f t="shared" si="3"/>
        <v>39.9</v>
      </c>
      <c r="O34" s="48">
        <f t="shared" si="4"/>
        <v>0</v>
      </c>
      <c r="P34" s="48">
        <f t="shared" si="5"/>
        <v>39.9</v>
      </c>
      <c r="Q34" s="48">
        <f t="shared" si="6"/>
        <v>0</v>
      </c>
      <c r="R34" s="5" t="s">
        <v>682</v>
      </c>
      <c r="S34" s="5" t="s">
        <v>683</v>
      </c>
      <c r="V34" s="44">
        <f t="shared" si="7"/>
        <v>39.9</v>
      </c>
    </row>
    <row r="35" spans="1:22" x14ac:dyDescent="0.2">
      <c r="A35" s="53">
        <v>1037882</v>
      </c>
      <c r="B35" s="1" t="s">
        <v>65</v>
      </c>
      <c r="C35" s="5" t="s">
        <v>49</v>
      </c>
      <c r="G35" s="47">
        <f t="shared" si="0"/>
        <v>0</v>
      </c>
      <c r="H35" s="47">
        <v>89.9</v>
      </c>
      <c r="I35" s="16" t="str">
        <f t="shared" si="1"/>
        <v>SEM INFORMAÇÃO DE CUSTOS</v>
      </c>
      <c r="J35" s="5">
        <f t="shared" si="2"/>
        <v>1</v>
      </c>
      <c r="K35" s="5">
        <v>0</v>
      </c>
      <c r="L35" s="5">
        <v>1</v>
      </c>
      <c r="M35" s="5">
        <v>0</v>
      </c>
      <c r="N35" s="48">
        <f t="shared" si="3"/>
        <v>89.9</v>
      </c>
      <c r="O35" s="48">
        <f t="shared" si="4"/>
        <v>0</v>
      </c>
      <c r="P35" s="48">
        <f t="shared" si="5"/>
        <v>89.9</v>
      </c>
      <c r="Q35" s="48">
        <f t="shared" si="6"/>
        <v>0</v>
      </c>
      <c r="R35" s="5" t="s">
        <v>682</v>
      </c>
      <c r="S35" s="5" t="s">
        <v>683</v>
      </c>
      <c r="V35" s="44">
        <f t="shared" si="7"/>
        <v>89.9</v>
      </c>
    </row>
    <row r="36" spans="1:22" x14ac:dyDescent="0.2">
      <c r="A36" s="53">
        <v>1038793</v>
      </c>
      <c r="B36" s="1" t="s">
        <v>49</v>
      </c>
      <c r="C36" s="5" t="s">
        <v>49</v>
      </c>
      <c r="G36" s="47">
        <f t="shared" si="0"/>
        <v>0</v>
      </c>
      <c r="H36" s="47">
        <v>99.9</v>
      </c>
      <c r="I36" s="16" t="str">
        <f t="shared" si="1"/>
        <v>SEM INFORMAÇÃO DE CUSTOS</v>
      </c>
      <c r="J36" s="5">
        <f t="shared" si="2"/>
        <v>3</v>
      </c>
      <c r="K36" s="5">
        <v>0</v>
      </c>
      <c r="L36" s="5">
        <v>3</v>
      </c>
      <c r="M36" s="5">
        <v>0</v>
      </c>
      <c r="N36" s="48">
        <f t="shared" si="3"/>
        <v>299.70000000000005</v>
      </c>
      <c r="O36" s="48">
        <f t="shared" si="4"/>
        <v>0</v>
      </c>
      <c r="P36" s="48">
        <f t="shared" si="5"/>
        <v>299.70000000000005</v>
      </c>
      <c r="Q36" s="48">
        <f t="shared" si="6"/>
        <v>0</v>
      </c>
      <c r="R36" s="5" t="s">
        <v>682</v>
      </c>
      <c r="S36" s="5" t="s">
        <v>683</v>
      </c>
      <c r="V36" s="44">
        <f t="shared" si="7"/>
        <v>299.70000000000005</v>
      </c>
    </row>
    <row r="37" spans="1:22" x14ac:dyDescent="0.2">
      <c r="A37" s="53">
        <v>1039068</v>
      </c>
      <c r="B37" s="1" t="s">
        <v>66</v>
      </c>
      <c r="C37" s="5" t="s">
        <v>49</v>
      </c>
      <c r="G37" s="47">
        <f t="shared" si="0"/>
        <v>0</v>
      </c>
      <c r="H37" s="47">
        <v>56.9</v>
      </c>
      <c r="I37" s="16" t="str">
        <f t="shared" si="1"/>
        <v>SEM INFORMAÇÃO DE CUSTOS</v>
      </c>
      <c r="J37" s="5">
        <f t="shared" si="2"/>
        <v>2</v>
      </c>
      <c r="K37" s="5">
        <v>0</v>
      </c>
      <c r="L37" s="5">
        <v>2</v>
      </c>
      <c r="M37" s="5">
        <v>0</v>
      </c>
      <c r="N37" s="48">
        <f t="shared" si="3"/>
        <v>113.8</v>
      </c>
      <c r="O37" s="48">
        <f t="shared" si="4"/>
        <v>0</v>
      </c>
      <c r="P37" s="48">
        <f t="shared" si="5"/>
        <v>113.8</v>
      </c>
      <c r="Q37" s="48">
        <f t="shared" si="6"/>
        <v>0</v>
      </c>
      <c r="R37" s="5" t="s">
        <v>682</v>
      </c>
      <c r="S37" s="5" t="s">
        <v>683</v>
      </c>
      <c r="V37" s="44">
        <f t="shared" si="7"/>
        <v>113.8</v>
      </c>
    </row>
    <row r="38" spans="1:22" x14ac:dyDescent="0.2">
      <c r="A38" s="53">
        <v>1039587</v>
      </c>
      <c r="B38" s="1" t="s">
        <v>67</v>
      </c>
      <c r="C38" s="5" t="s">
        <v>49</v>
      </c>
      <c r="G38" s="47">
        <f t="shared" si="0"/>
        <v>0</v>
      </c>
      <c r="H38" s="47">
        <v>139.9</v>
      </c>
      <c r="I38" s="16" t="str">
        <f t="shared" si="1"/>
        <v>SEM INFORMAÇÃO DE CUSTOS</v>
      </c>
      <c r="J38" s="5">
        <f t="shared" si="2"/>
        <v>1</v>
      </c>
      <c r="K38" s="5">
        <v>0</v>
      </c>
      <c r="L38" s="5">
        <v>1</v>
      </c>
      <c r="M38" s="5">
        <v>0</v>
      </c>
      <c r="N38" s="48">
        <f t="shared" si="3"/>
        <v>139.9</v>
      </c>
      <c r="O38" s="48">
        <f t="shared" si="4"/>
        <v>0</v>
      </c>
      <c r="P38" s="48">
        <f t="shared" si="5"/>
        <v>139.9</v>
      </c>
      <c r="Q38" s="48">
        <f t="shared" si="6"/>
        <v>0</v>
      </c>
      <c r="R38" s="5" t="s">
        <v>682</v>
      </c>
      <c r="S38" s="5" t="s">
        <v>683</v>
      </c>
      <c r="V38" s="44">
        <f t="shared" si="7"/>
        <v>139.9</v>
      </c>
    </row>
    <row r="39" spans="1:22" x14ac:dyDescent="0.2">
      <c r="A39" s="53">
        <v>1039590</v>
      </c>
      <c r="B39" s="1" t="s">
        <v>68</v>
      </c>
      <c r="C39" s="5" t="s">
        <v>49</v>
      </c>
      <c r="E39" s="47">
        <v>3.1</v>
      </c>
      <c r="F39" s="47">
        <v>5.36</v>
      </c>
      <c r="G39" s="47">
        <f t="shared" si="0"/>
        <v>8.4600000000000009</v>
      </c>
      <c r="H39" s="47">
        <v>69.900000000000006</v>
      </c>
      <c r="I39" s="16">
        <f t="shared" si="1"/>
        <v>8.2624113475177303</v>
      </c>
      <c r="J39" s="5">
        <f t="shared" si="2"/>
        <v>3</v>
      </c>
      <c r="K39" s="5">
        <v>0</v>
      </c>
      <c r="L39" s="5">
        <v>3</v>
      </c>
      <c r="M39" s="5">
        <v>0</v>
      </c>
      <c r="N39" s="48">
        <f t="shared" si="3"/>
        <v>209.70000000000002</v>
      </c>
      <c r="O39" s="48">
        <f t="shared" si="4"/>
        <v>0</v>
      </c>
      <c r="P39" s="48">
        <f t="shared" si="5"/>
        <v>209.70000000000002</v>
      </c>
      <c r="Q39" s="48">
        <f t="shared" si="6"/>
        <v>25.380000000000003</v>
      </c>
      <c r="R39" s="5" t="s">
        <v>682</v>
      </c>
      <c r="S39" s="5" t="s">
        <v>683</v>
      </c>
      <c r="V39" s="44">
        <f t="shared" si="7"/>
        <v>209.70000000000002</v>
      </c>
    </row>
    <row r="40" spans="1:22" x14ac:dyDescent="0.2">
      <c r="A40" s="53">
        <v>1040944</v>
      </c>
      <c r="B40" s="1" t="s">
        <v>69</v>
      </c>
      <c r="C40" s="5" t="s">
        <v>49</v>
      </c>
      <c r="G40" s="47">
        <f t="shared" si="0"/>
        <v>0</v>
      </c>
      <c r="H40" s="47">
        <v>83.9</v>
      </c>
      <c r="I40" s="16" t="str">
        <f t="shared" si="1"/>
        <v>SEM INFORMAÇÃO DE CUSTOS</v>
      </c>
      <c r="J40" s="5">
        <f t="shared" si="2"/>
        <v>0</v>
      </c>
      <c r="K40" s="5">
        <v>0</v>
      </c>
      <c r="L40" s="5">
        <v>0</v>
      </c>
      <c r="M40" s="5">
        <v>0</v>
      </c>
      <c r="N40" s="48">
        <f t="shared" si="3"/>
        <v>0</v>
      </c>
      <c r="O40" s="48">
        <f t="shared" si="4"/>
        <v>0</v>
      </c>
      <c r="P40" s="48">
        <f t="shared" si="5"/>
        <v>0</v>
      </c>
      <c r="Q40" s="48">
        <f t="shared" si="6"/>
        <v>0</v>
      </c>
      <c r="R40" s="5" t="s">
        <v>682</v>
      </c>
      <c r="S40" s="5" t="s">
        <v>683</v>
      </c>
      <c r="V40" s="44">
        <f t="shared" si="7"/>
        <v>0</v>
      </c>
    </row>
    <row r="41" spans="1:22" x14ac:dyDescent="0.2">
      <c r="A41" s="53">
        <v>1041205</v>
      </c>
      <c r="B41" s="1" t="s">
        <v>70</v>
      </c>
      <c r="C41" s="5" t="s">
        <v>49</v>
      </c>
      <c r="E41" s="47">
        <v>9.5500000000000007</v>
      </c>
      <c r="F41" s="47">
        <v>31.55</v>
      </c>
      <c r="G41" s="47">
        <f t="shared" si="0"/>
        <v>41.1</v>
      </c>
      <c r="H41" s="47">
        <v>165.9</v>
      </c>
      <c r="I41" s="16">
        <f t="shared" si="1"/>
        <v>4.0364963503649633</v>
      </c>
      <c r="J41" s="5">
        <f t="shared" si="2"/>
        <v>3</v>
      </c>
      <c r="K41" s="5">
        <v>1</v>
      </c>
      <c r="L41" s="5">
        <v>2</v>
      </c>
      <c r="M41" s="5">
        <v>0</v>
      </c>
      <c r="N41" s="48">
        <f t="shared" si="3"/>
        <v>331.8</v>
      </c>
      <c r="O41" s="48">
        <f t="shared" si="4"/>
        <v>165.9</v>
      </c>
      <c r="P41" s="48">
        <f t="shared" si="5"/>
        <v>497.70000000000005</v>
      </c>
      <c r="Q41" s="48">
        <f t="shared" si="6"/>
        <v>123.30000000000001</v>
      </c>
      <c r="R41" s="5" t="s">
        <v>682</v>
      </c>
      <c r="S41" s="5" t="s">
        <v>683</v>
      </c>
      <c r="V41" s="44">
        <f t="shared" si="7"/>
        <v>331.8</v>
      </c>
    </row>
    <row r="42" spans="1:22" x14ac:dyDescent="0.2">
      <c r="A42" s="53">
        <v>1041439</v>
      </c>
      <c r="B42" s="1" t="s">
        <v>71</v>
      </c>
      <c r="C42" s="5" t="s">
        <v>49</v>
      </c>
      <c r="G42" s="47">
        <f t="shared" si="0"/>
        <v>0</v>
      </c>
      <c r="H42" s="47">
        <v>159.9</v>
      </c>
      <c r="I42" s="16" t="str">
        <f t="shared" si="1"/>
        <v>SEM INFORMAÇÃO DE CUSTOS</v>
      </c>
      <c r="J42" s="5">
        <f t="shared" si="2"/>
        <v>0</v>
      </c>
      <c r="K42" s="5">
        <v>0</v>
      </c>
      <c r="L42" s="5">
        <v>0</v>
      </c>
      <c r="M42" s="5">
        <v>0</v>
      </c>
      <c r="N42" s="48">
        <f t="shared" si="3"/>
        <v>0</v>
      </c>
      <c r="O42" s="48">
        <f t="shared" si="4"/>
        <v>0</v>
      </c>
      <c r="P42" s="48">
        <f t="shared" si="5"/>
        <v>0</v>
      </c>
      <c r="Q42" s="48">
        <f t="shared" si="6"/>
        <v>0</v>
      </c>
      <c r="R42" s="5" t="s">
        <v>682</v>
      </c>
      <c r="S42" s="5" t="s">
        <v>683</v>
      </c>
      <c r="V42" s="44">
        <f t="shared" si="7"/>
        <v>0</v>
      </c>
    </row>
    <row r="43" spans="1:22" x14ac:dyDescent="0.2">
      <c r="A43" s="53">
        <v>1041715</v>
      </c>
      <c r="B43" s="1" t="s">
        <v>72</v>
      </c>
      <c r="C43" s="5" t="s">
        <v>49</v>
      </c>
      <c r="E43" s="47">
        <v>8.32</v>
      </c>
      <c r="F43" s="47">
        <v>15.77</v>
      </c>
      <c r="G43" s="47">
        <f t="shared" si="0"/>
        <v>24.09</v>
      </c>
      <c r="H43" s="47">
        <v>129.9</v>
      </c>
      <c r="I43" s="16">
        <f t="shared" si="1"/>
        <v>5.3922789539227898</v>
      </c>
      <c r="J43" s="5">
        <f t="shared" si="2"/>
        <v>5</v>
      </c>
      <c r="K43" s="5">
        <v>0</v>
      </c>
      <c r="L43" s="5">
        <v>5</v>
      </c>
      <c r="M43" s="5">
        <v>0</v>
      </c>
      <c r="N43" s="48">
        <f t="shared" si="3"/>
        <v>649.5</v>
      </c>
      <c r="O43" s="48">
        <f t="shared" si="4"/>
        <v>0</v>
      </c>
      <c r="P43" s="48">
        <f t="shared" si="5"/>
        <v>649.5</v>
      </c>
      <c r="Q43" s="48">
        <f t="shared" si="6"/>
        <v>120.45</v>
      </c>
      <c r="R43" s="5" t="s">
        <v>682</v>
      </c>
      <c r="S43" s="5" t="s">
        <v>683</v>
      </c>
      <c r="V43" s="44">
        <f t="shared" si="7"/>
        <v>649.5</v>
      </c>
    </row>
    <row r="44" spans="1:22" x14ac:dyDescent="0.2">
      <c r="A44" s="53">
        <v>1041916</v>
      </c>
      <c r="B44" s="1" t="s">
        <v>73</v>
      </c>
      <c r="C44" s="5" t="s">
        <v>49</v>
      </c>
      <c r="E44" s="47">
        <v>32.9</v>
      </c>
      <c r="F44" s="47">
        <v>25.3</v>
      </c>
      <c r="G44" s="47">
        <f t="shared" si="0"/>
        <v>58.2</v>
      </c>
      <c r="H44" s="47">
        <v>254.9</v>
      </c>
      <c r="I44" s="16">
        <f t="shared" si="1"/>
        <v>4.3797250859106525</v>
      </c>
      <c r="J44" s="5">
        <f t="shared" si="2"/>
        <v>2</v>
      </c>
      <c r="K44" s="5">
        <v>0</v>
      </c>
      <c r="L44" s="5">
        <v>2</v>
      </c>
      <c r="M44" s="5">
        <v>0</v>
      </c>
      <c r="N44" s="48">
        <f t="shared" si="3"/>
        <v>509.8</v>
      </c>
      <c r="O44" s="48">
        <f t="shared" si="4"/>
        <v>0</v>
      </c>
      <c r="P44" s="48">
        <f t="shared" si="5"/>
        <v>509.8</v>
      </c>
      <c r="Q44" s="48">
        <f t="shared" si="6"/>
        <v>116.4</v>
      </c>
      <c r="R44" s="5" t="s">
        <v>682</v>
      </c>
      <c r="S44" s="5" t="s">
        <v>683</v>
      </c>
      <c r="V44" s="44">
        <f t="shared" si="7"/>
        <v>509.8</v>
      </c>
    </row>
    <row r="45" spans="1:22" x14ac:dyDescent="0.2">
      <c r="A45" s="53">
        <v>1042001</v>
      </c>
      <c r="B45" s="1" t="s">
        <v>74</v>
      </c>
      <c r="C45" s="5" t="s">
        <v>49</v>
      </c>
      <c r="G45" s="47">
        <f t="shared" si="0"/>
        <v>0</v>
      </c>
      <c r="H45" s="47">
        <v>64.900000000000006</v>
      </c>
      <c r="I45" s="16" t="str">
        <f t="shared" si="1"/>
        <v>SEM INFORMAÇÃO DE CUSTOS</v>
      </c>
      <c r="J45" s="5">
        <f t="shared" si="2"/>
        <v>1</v>
      </c>
      <c r="K45" s="5">
        <v>0</v>
      </c>
      <c r="L45" s="5">
        <v>1</v>
      </c>
      <c r="M45" s="5">
        <v>0</v>
      </c>
      <c r="N45" s="48">
        <f t="shared" si="3"/>
        <v>64.900000000000006</v>
      </c>
      <c r="O45" s="48">
        <f t="shared" si="4"/>
        <v>0</v>
      </c>
      <c r="P45" s="48">
        <f t="shared" si="5"/>
        <v>64.900000000000006</v>
      </c>
      <c r="Q45" s="48">
        <f t="shared" si="6"/>
        <v>0</v>
      </c>
      <c r="R45" s="5" t="s">
        <v>682</v>
      </c>
      <c r="S45" s="5" t="s">
        <v>683</v>
      </c>
      <c r="V45" s="44">
        <f t="shared" si="7"/>
        <v>64.900000000000006</v>
      </c>
    </row>
    <row r="46" spans="1:22" x14ac:dyDescent="0.2">
      <c r="A46" s="53">
        <v>1042902</v>
      </c>
      <c r="B46" s="1" t="s">
        <v>75</v>
      </c>
      <c r="C46" s="5" t="s">
        <v>49</v>
      </c>
      <c r="E46" s="47">
        <v>7.4</v>
      </c>
      <c r="F46" s="47">
        <v>21.73</v>
      </c>
      <c r="G46" s="47">
        <f t="shared" si="0"/>
        <v>29.130000000000003</v>
      </c>
      <c r="H46" s="47">
        <v>144</v>
      </c>
      <c r="I46" s="16">
        <f t="shared" si="1"/>
        <v>4.9433573635427388</v>
      </c>
      <c r="J46" s="5">
        <f t="shared" si="2"/>
        <v>4</v>
      </c>
      <c r="K46" s="5">
        <v>0</v>
      </c>
      <c r="L46" s="5">
        <v>4</v>
      </c>
      <c r="M46" s="5">
        <v>0</v>
      </c>
      <c r="N46" s="48">
        <f t="shared" si="3"/>
        <v>576</v>
      </c>
      <c r="O46" s="48">
        <f t="shared" si="4"/>
        <v>0</v>
      </c>
      <c r="P46" s="48">
        <f t="shared" si="5"/>
        <v>576</v>
      </c>
      <c r="Q46" s="48">
        <f t="shared" si="6"/>
        <v>116.52000000000001</v>
      </c>
      <c r="R46" s="5" t="s">
        <v>682</v>
      </c>
      <c r="S46" s="5" t="s">
        <v>683</v>
      </c>
      <c r="V46" s="44">
        <f t="shared" si="7"/>
        <v>576</v>
      </c>
    </row>
    <row r="47" spans="1:22" x14ac:dyDescent="0.2">
      <c r="A47" s="53">
        <v>1043733</v>
      </c>
      <c r="B47" s="1" t="s">
        <v>76</v>
      </c>
      <c r="C47" s="5" t="s">
        <v>49</v>
      </c>
      <c r="E47" s="47">
        <v>5.4</v>
      </c>
      <c r="F47" s="47">
        <v>3.27</v>
      </c>
      <c r="G47" s="47">
        <f t="shared" si="0"/>
        <v>8.67</v>
      </c>
      <c r="H47" s="47">
        <v>49.9</v>
      </c>
      <c r="I47" s="16">
        <f t="shared" si="1"/>
        <v>5.755478662053056</v>
      </c>
      <c r="J47" s="5">
        <f t="shared" si="2"/>
        <v>3</v>
      </c>
      <c r="K47" s="5">
        <v>0</v>
      </c>
      <c r="L47" s="5">
        <v>3</v>
      </c>
      <c r="M47" s="5">
        <v>0</v>
      </c>
      <c r="N47" s="48">
        <f t="shared" si="3"/>
        <v>149.69999999999999</v>
      </c>
      <c r="O47" s="48">
        <f t="shared" si="4"/>
        <v>0</v>
      </c>
      <c r="P47" s="48">
        <f t="shared" si="5"/>
        <v>149.69999999999999</v>
      </c>
      <c r="Q47" s="48">
        <f t="shared" si="6"/>
        <v>26.009999999999998</v>
      </c>
      <c r="R47" s="5" t="s">
        <v>682</v>
      </c>
      <c r="S47" s="5" t="s">
        <v>683</v>
      </c>
      <c r="V47" s="44">
        <f t="shared" si="7"/>
        <v>149.69999999999999</v>
      </c>
    </row>
    <row r="48" spans="1:22" x14ac:dyDescent="0.2">
      <c r="A48" s="53">
        <v>1043735</v>
      </c>
      <c r="B48" s="1" t="s">
        <v>77</v>
      </c>
      <c r="C48" s="5" t="s">
        <v>49</v>
      </c>
      <c r="G48" s="47">
        <f t="shared" si="0"/>
        <v>0</v>
      </c>
      <c r="H48" s="47">
        <v>49.9</v>
      </c>
      <c r="I48" s="16" t="str">
        <f t="shared" si="1"/>
        <v>SEM INFORMAÇÃO DE CUSTOS</v>
      </c>
      <c r="J48" s="5">
        <f t="shared" si="2"/>
        <v>1</v>
      </c>
      <c r="K48" s="5">
        <v>1</v>
      </c>
      <c r="L48" s="5">
        <v>0</v>
      </c>
      <c r="M48" s="5">
        <v>0</v>
      </c>
      <c r="N48" s="48">
        <f t="shared" si="3"/>
        <v>0</v>
      </c>
      <c r="O48" s="48">
        <f t="shared" si="4"/>
        <v>49.9</v>
      </c>
      <c r="P48" s="48">
        <f t="shared" si="5"/>
        <v>49.9</v>
      </c>
      <c r="Q48" s="48">
        <f t="shared" si="6"/>
        <v>0</v>
      </c>
      <c r="R48" s="5" t="s">
        <v>682</v>
      </c>
      <c r="S48" s="5" t="s">
        <v>683</v>
      </c>
      <c r="V48" s="44">
        <f t="shared" si="7"/>
        <v>0</v>
      </c>
    </row>
    <row r="49" spans="1:22" x14ac:dyDescent="0.2">
      <c r="A49" s="53">
        <v>1043737</v>
      </c>
      <c r="B49" s="1" t="s">
        <v>78</v>
      </c>
      <c r="C49" s="5" t="s">
        <v>49</v>
      </c>
      <c r="E49" s="47">
        <v>8.85</v>
      </c>
      <c r="F49" s="47">
        <v>1.49</v>
      </c>
      <c r="G49" s="47">
        <f t="shared" si="0"/>
        <v>10.34</v>
      </c>
      <c r="H49" s="47">
        <v>59.9</v>
      </c>
      <c r="I49" s="16">
        <f t="shared" si="1"/>
        <v>5.7930367504835587</v>
      </c>
      <c r="J49" s="5">
        <f t="shared" si="2"/>
        <v>5</v>
      </c>
      <c r="K49" s="5">
        <v>0</v>
      </c>
      <c r="L49" s="5">
        <v>5</v>
      </c>
      <c r="M49" s="5">
        <v>0</v>
      </c>
      <c r="N49" s="48">
        <f t="shared" si="3"/>
        <v>299.5</v>
      </c>
      <c r="O49" s="48">
        <f t="shared" si="4"/>
        <v>0</v>
      </c>
      <c r="P49" s="48">
        <f t="shared" si="5"/>
        <v>299.5</v>
      </c>
      <c r="Q49" s="48">
        <f t="shared" si="6"/>
        <v>51.7</v>
      </c>
      <c r="R49" s="5" t="s">
        <v>682</v>
      </c>
      <c r="S49" s="5" t="s">
        <v>683</v>
      </c>
      <c r="V49" s="44">
        <f t="shared" si="7"/>
        <v>299.5</v>
      </c>
    </row>
    <row r="50" spans="1:22" x14ac:dyDescent="0.2">
      <c r="A50" s="53">
        <v>1043795</v>
      </c>
      <c r="B50" s="1" t="s">
        <v>79</v>
      </c>
      <c r="C50" s="5" t="s">
        <v>49</v>
      </c>
      <c r="G50" s="47">
        <f t="shared" si="0"/>
        <v>0</v>
      </c>
      <c r="H50" s="47">
        <v>65</v>
      </c>
      <c r="I50" s="16" t="str">
        <f t="shared" si="1"/>
        <v>SEM INFORMAÇÃO DE CUSTOS</v>
      </c>
      <c r="J50" s="5">
        <f t="shared" si="2"/>
        <v>1</v>
      </c>
      <c r="K50" s="5">
        <v>0</v>
      </c>
      <c r="L50" s="5">
        <v>1</v>
      </c>
      <c r="M50" s="5">
        <v>0</v>
      </c>
      <c r="N50" s="48">
        <f t="shared" si="3"/>
        <v>65</v>
      </c>
      <c r="O50" s="48">
        <f t="shared" si="4"/>
        <v>0</v>
      </c>
      <c r="P50" s="48">
        <f t="shared" si="5"/>
        <v>65</v>
      </c>
      <c r="Q50" s="48">
        <f t="shared" si="6"/>
        <v>0</v>
      </c>
      <c r="R50" s="5" t="s">
        <v>682</v>
      </c>
      <c r="S50" s="5" t="s">
        <v>683</v>
      </c>
      <c r="V50" s="44">
        <f t="shared" si="7"/>
        <v>65</v>
      </c>
    </row>
    <row r="51" spans="1:22" x14ac:dyDescent="0.2">
      <c r="A51" s="53">
        <v>1043975</v>
      </c>
      <c r="B51" s="1" t="s">
        <v>80</v>
      </c>
      <c r="C51" s="5" t="s">
        <v>49</v>
      </c>
      <c r="G51" s="47">
        <f t="shared" si="0"/>
        <v>0</v>
      </c>
      <c r="H51" s="47">
        <v>54.9</v>
      </c>
      <c r="I51" s="16" t="str">
        <f t="shared" si="1"/>
        <v>SEM INFORMAÇÃO DE CUSTOS</v>
      </c>
      <c r="J51" s="5">
        <f t="shared" si="2"/>
        <v>1</v>
      </c>
      <c r="K51" s="5">
        <v>0</v>
      </c>
      <c r="L51" s="5">
        <v>1</v>
      </c>
      <c r="M51" s="5">
        <v>0</v>
      </c>
      <c r="N51" s="48">
        <f t="shared" si="3"/>
        <v>54.9</v>
      </c>
      <c r="O51" s="48">
        <f t="shared" si="4"/>
        <v>0</v>
      </c>
      <c r="P51" s="48">
        <f t="shared" si="5"/>
        <v>54.9</v>
      </c>
      <c r="Q51" s="48">
        <f t="shared" si="6"/>
        <v>0</v>
      </c>
      <c r="R51" s="5" t="s">
        <v>682</v>
      </c>
      <c r="S51" s="5" t="s">
        <v>683</v>
      </c>
      <c r="V51" s="44">
        <f t="shared" si="7"/>
        <v>54.9</v>
      </c>
    </row>
    <row r="52" spans="1:22" x14ac:dyDescent="0.2">
      <c r="A52" s="53">
        <v>1044104</v>
      </c>
      <c r="B52" s="1" t="s">
        <v>81</v>
      </c>
      <c r="C52" s="5" t="s">
        <v>49</v>
      </c>
      <c r="E52" s="47">
        <v>6.9</v>
      </c>
      <c r="F52" s="47">
        <v>9.82</v>
      </c>
      <c r="G52" s="47">
        <f t="shared" si="0"/>
        <v>16.72</v>
      </c>
      <c r="H52" s="47">
        <v>98.9</v>
      </c>
      <c r="I52" s="16">
        <f t="shared" si="1"/>
        <v>5.9150717703349294</v>
      </c>
      <c r="J52" s="5">
        <f t="shared" si="2"/>
        <v>0</v>
      </c>
      <c r="K52" s="5">
        <v>0</v>
      </c>
      <c r="L52" s="5">
        <v>0</v>
      </c>
      <c r="M52" s="5">
        <v>0</v>
      </c>
      <c r="N52" s="48">
        <f t="shared" si="3"/>
        <v>0</v>
      </c>
      <c r="O52" s="48">
        <f t="shared" si="4"/>
        <v>0</v>
      </c>
      <c r="P52" s="48">
        <f t="shared" si="5"/>
        <v>0</v>
      </c>
      <c r="Q52" s="48">
        <f t="shared" si="6"/>
        <v>0</v>
      </c>
      <c r="R52" s="5" t="s">
        <v>682</v>
      </c>
      <c r="S52" s="5" t="s">
        <v>683</v>
      </c>
      <c r="V52" s="44">
        <f t="shared" si="7"/>
        <v>0</v>
      </c>
    </row>
    <row r="53" spans="1:22" x14ac:dyDescent="0.2">
      <c r="A53" s="53">
        <v>1044263</v>
      </c>
      <c r="B53" s="1" t="s">
        <v>82</v>
      </c>
      <c r="C53" s="5" t="s">
        <v>49</v>
      </c>
      <c r="G53" s="47">
        <f t="shared" si="0"/>
        <v>0</v>
      </c>
      <c r="H53" s="47">
        <v>151.5</v>
      </c>
      <c r="I53" s="16" t="str">
        <f t="shared" si="1"/>
        <v>SEM INFORMAÇÃO DE CUSTOS</v>
      </c>
      <c r="J53" s="5">
        <f t="shared" si="2"/>
        <v>1</v>
      </c>
      <c r="K53" s="5">
        <v>0</v>
      </c>
      <c r="L53" s="5">
        <v>1</v>
      </c>
      <c r="M53" s="5">
        <v>0</v>
      </c>
      <c r="N53" s="48">
        <f t="shared" si="3"/>
        <v>151.5</v>
      </c>
      <c r="O53" s="48">
        <f t="shared" si="4"/>
        <v>0</v>
      </c>
      <c r="P53" s="48">
        <f t="shared" si="5"/>
        <v>151.5</v>
      </c>
      <c r="Q53" s="48">
        <f t="shared" si="6"/>
        <v>0</v>
      </c>
      <c r="R53" s="5" t="s">
        <v>682</v>
      </c>
      <c r="S53" s="5" t="s">
        <v>683</v>
      </c>
      <c r="V53" s="44">
        <f t="shared" si="7"/>
        <v>151.5</v>
      </c>
    </row>
    <row r="54" spans="1:22" x14ac:dyDescent="0.2">
      <c r="A54" s="53">
        <v>1044287</v>
      </c>
      <c r="B54" s="1" t="s">
        <v>83</v>
      </c>
      <c r="C54" s="5" t="s">
        <v>49</v>
      </c>
      <c r="G54" s="47">
        <f t="shared" si="0"/>
        <v>0</v>
      </c>
      <c r="H54" s="47">
        <v>38.9</v>
      </c>
      <c r="I54" s="16" t="str">
        <f t="shared" si="1"/>
        <v>SEM INFORMAÇÃO DE CUSTOS</v>
      </c>
      <c r="J54" s="5">
        <f t="shared" si="2"/>
        <v>1</v>
      </c>
      <c r="K54" s="5">
        <v>0</v>
      </c>
      <c r="L54" s="5">
        <v>1</v>
      </c>
      <c r="M54" s="5">
        <v>0</v>
      </c>
      <c r="N54" s="48">
        <f t="shared" si="3"/>
        <v>38.9</v>
      </c>
      <c r="O54" s="48">
        <f t="shared" si="4"/>
        <v>0</v>
      </c>
      <c r="P54" s="48">
        <f t="shared" si="5"/>
        <v>38.9</v>
      </c>
      <c r="Q54" s="48">
        <f t="shared" si="6"/>
        <v>0</v>
      </c>
      <c r="R54" s="5" t="s">
        <v>682</v>
      </c>
      <c r="S54" s="5" t="s">
        <v>683</v>
      </c>
      <c r="V54" s="44">
        <f t="shared" si="7"/>
        <v>38.9</v>
      </c>
    </row>
    <row r="55" spans="1:22" x14ac:dyDescent="0.2">
      <c r="A55" s="53">
        <v>1044452</v>
      </c>
      <c r="B55" s="1" t="s">
        <v>84</v>
      </c>
      <c r="C55" s="5" t="s">
        <v>49</v>
      </c>
      <c r="E55" s="47">
        <v>8.5</v>
      </c>
      <c r="F55" s="47">
        <v>7.14</v>
      </c>
      <c r="G55" s="47">
        <f t="shared" si="0"/>
        <v>15.64</v>
      </c>
      <c r="H55" s="47">
        <v>80.989999999999995</v>
      </c>
      <c r="I55" s="16">
        <f t="shared" si="1"/>
        <v>5.1783887468030683</v>
      </c>
      <c r="J55" s="5">
        <f t="shared" si="2"/>
        <v>5</v>
      </c>
      <c r="K55" s="5">
        <v>1</v>
      </c>
      <c r="L55" s="5">
        <v>4</v>
      </c>
      <c r="M55" s="5">
        <v>0</v>
      </c>
      <c r="N55" s="48">
        <f t="shared" si="3"/>
        <v>323.95999999999998</v>
      </c>
      <c r="O55" s="48">
        <f t="shared" si="4"/>
        <v>80.989999999999995</v>
      </c>
      <c r="P55" s="48">
        <f t="shared" si="5"/>
        <v>404.95</v>
      </c>
      <c r="Q55" s="48">
        <f t="shared" si="6"/>
        <v>78.2</v>
      </c>
      <c r="R55" s="5" t="s">
        <v>682</v>
      </c>
      <c r="S55" s="5" t="s">
        <v>683</v>
      </c>
      <c r="V55" s="44">
        <f t="shared" si="7"/>
        <v>323.95999999999998</v>
      </c>
    </row>
    <row r="56" spans="1:22" x14ac:dyDescent="0.2">
      <c r="A56" s="53">
        <v>1044520</v>
      </c>
      <c r="B56" s="1" t="s">
        <v>85</v>
      </c>
      <c r="C56" s="5" t="s">
        <v>49</v>
      </c>
      <c r="G56" s="47">
        <f t="shared" si="0"/>
        <v>0</v>
      </c>
      <c r="H56" s="47">
        <v>209.9</v>
      </c>
      <c r="I56" s="16" t="str">
        <f t="shared" si="1"/>
        <v>SEM INFORMAÇÃO DE CUSTOS</v>
      </c>
      <c r="J56" s="5">
        <f t="shared" si="2"/>
        <v>0</v>
      </c>
      <c r="K56" s="5">
        <v>0</v>
      </c>
      <c r="L56" s="5">
        <v>0</v>
      </c>
      <c r="M56" s="5">
        <v>0</v>
      </c>
      <c r="N56" s="48">
        <f t="shared" si="3"/>
        <v>0</v>
      </c>
      <c r="O56" s="48">
        <f t="shared" si="4"/>
        <v>0</v>
      </c>
      <c r="P56" s="48">
        <f t="shared" si="5"/>
        <v>0</v>
      </c>
      <c r="Q56" s="48">
        <f t="shared" si="6"/>
        <v>0</v>
      </c>
      <c r="R56" s="5" t="s">
        <v>682</v>
      </c>
      <c r="S56" s="5" t="s">
        <v>683</v>
      </c>
      <c r="V56" s="44">
        <f t="shared" si="7"/>
        <v>0</v>
      </c>
    </row>
    <row r="57" spans="1:22" x14ac:dyDescent="0.2">
      <c r="A57" s="53">
        <v>1044666</v>
      </c>
      <c r="B57" s="1" t="s">
        <v>86</v>
      </c>
      <c r="C57" s="5" t="s">
        <v>49</v>
      </c>
      <c r="G57" s="47">
        <f t="shared" si="0"/>
        <v>0</v>
      </c>
      <c r="H57" s="47">
        <v>79.900000000000006</v>
      </c>
      <c r="I57" s="16" t="str">
        <f t="shared" si="1"/>
        <v>SEM INFORMAÇÃO DE CUSTOS</v>
      </c>
      <c r="J57" s="5">
        <f t="shared" si="2"/>
        <v>1</v>
      </c>
      <c r="K57" s="5">
        <v>0</v>
      </c>
      <c r="L57" s="5">
        <v>1</v>
      </c>
      <c r="M57" s="5">
        <v>0</v>
      </c>
      <c r="N57" s="48">
        <f t="shared" si="3"/>
        <v>79.900000000000006</v>
      </c>
      <c r="O57" s="48">
        <f t="shared" si="4"/>
        <v>0</v>
      </c>
      <c r="P57" s="48">
        <f t="shared" si="5"/>
        <v>79.900000000000006</v>
      </c>
      <c r="Q57" s="48">
        <f t="shared" si="6"/>
        <v>0</v>
      </c>
      <c r="R57" s="5" t="s">
        <v>682</v>
      </c>
      <c r="S57" s="5" t="s">
        <v>683</v>
      </c>
      <c r="V57" s="44">
        <f t="shared" si="7"/>
        <v>79.900000000000006</v>
      </c>
    </row>
    <row r="58" spans="1:22" x14ac:dyDescent="0.2">
      <c r="A58" s="53">
        <v>1044683</v>
      </c>
      <c r="B58" s="1" t="s">
        <v>87</v>
      </c>
      <c r="C58" s="5" t="s">
        <v>49</v>
      </c>
      <c r="G58" s="47">
        <f t="shared" si="0"/>
        <v>0</v>
      </c>
      <c r="H58" s="47">
        <v>92.9</v>
      </c>
      <c r="I58" s="16" t="str">
        <f t="shared" si="1"/>
        <v>SEM INFORMAÇÃO DE CUSTOS</v>
      </c>
      <c r="J58" s="5">
        <f t="shared" si="2"/>
        <v>1</v>
      </c>
      <c r="K58" s="5">
        <v>0</v>
      </c>
      <c r="L58" s="5">
        <v>1</v>
      </c>
      <c r="M58" s="5">
        <v>0</v>
      </c>
      <c r="N58" s="48">
        <f t="shared" si="3"/>
        <v>92.9</v>
      </c>
      <c r="O58" s="48">
        <f t="shared" si="4"/>
        <v>0</v>
      </c>
      <c r="P58" s="48">
        <f t="shared" si="5"/>
        <v>92.9</v>
      </c>
      <c r="Q58" s="48">
        <f t="shared" si="6"/>
        <v>0</v>
      </c>
      <c r="R58" s="5" t="s">
        <v>682</v>
      </c>
      <c r="S58" s="5" t="s">
        <v>683</v>
      </c>
      <c r="V58" s="44">
        <f t="shared" si="7"/>
        <v>92.9</v>
      </c>
    </row>
    <row r="59" spans="1:22" x14ac:dyDescent="0.2">
      <c r="A59" s="53">
        <v>1044689</v>
      </c>
      <c r="B59" s="1" t="s">
        <v>88</v>
      </c>
      <c r="C59" s="5" t="s">
        <v>49</v>
      </c>
      <c r="G59" s="47">
        <f t="shared" si="0"/>
        <v>0</v>
      </c>
      <c r="H59" s="47">
        <v>96.9</v>
      </c>
      <c r="I59" s="16" t="str">
        <f t="shared" si="1"/>
        <v>SEM INFORMAÇÃO DE CUSTOS</v>
      </c>
      <c r="J59" s="5">
        <f t="shared" si="2"/>
        <v>1</v>
      </c>
      <c r="K59" s="5">
        <v>0</v>
      </c>
      <c r="L59" s="5">
        <v>1</v>
      </c>
      <c r="M59" s="5">
        <v>0</v>
      </c>
      <c r="N59" s="48">
        <f t="shared" si="3"/>
        <v>96.9</v>
      </c>
      <c r="O59" s="48">
        <f t="shared" si="4"/>
        <v>0</v>
      </c>
      <c r="P59" s="48">
        <f t="shared" si="5"/>
        <v>96.9</v>
      </c>
      <c r="Q59" s="48">
        <f t="shared" si="6"/>
        <v>0</v>
      </c>
      <c r="R59" s="5" t="s">
        <v>682</v>
      </c>
      <c r="S59" s="5" t="s">
        <v>683</v>
      </c>
      <c r="V59" s="44">
        <f t="shared" si="7"/>
        <v>96.9</v>
      </c>
    </row>
    <row r="60" spans="1:22" x14ac:dyDescent="0.2">
      <c r="A60" s="53">
        <v>1044693</v>
      </c>
      <c r="B60" s="1" t="s">
        <v>89</v>
      </c>
      <c r="C60" s="5" t="s">
        <v>49</v>
      </c>
      <c r="G60" s="47">
        <f t="shared" si="0"/>
        <v>0</v>
      </c>
      <c r="H60" s="47">
        <v>81.900000000000006</v>
      </c>
      <c r="I60" s="16" t="str">
        <f t="shared" si="1"/>
        <v>SEM INFORMAÇÃO DE CUSTOS</v>
      </c>
      <c r="J60" s="5">
        <f t="shared" si="2"/>
        <v>1</v>
      </c>
      <c r="K60" s="5">
        <v>0</v>
      </c>
      <c r="L60" s="5">
        <v>1</v>
      </c>
      <c r="M60" s="5">
        <v>0</v>
      </c>
      <c r="N60" s="48">
        <f t="shared" si="3"/>
        <v>81.900000000000006</v>
      </c>
      <c r="O60" s="48">
        <f t="shared" si="4"/>
        <v>0</v>
      </c>
      <c r="P60" s="48">
        <f t="shared" si="5"/>
        <v>81.900000000000006</v>
      </c>
      <c r="Q60" s="48">
        <f t="shared" si="6"/>
        <v>0</v>
      </c>
      <c r="R60" s="5" t="s">
        <v>682</v>
      </c>
      <c r="S60" s="5" t="s">
        <v>683</v>
      </c>
      <c r="V60" s="44">
        <f t="shared" si="7"/>
        <v>81.900000000000006</v>
      </c>
    </row>
    <row r="61" spans="1:22" x14ac:dyDescent="0.2">
      <c r="A61" s="53">
        <v>1044816</v>
      </c>
      <c r="B61" s="1" t="s">
        <v>90</v>
      </c>
      <c r="C61" s="5" t="s">
        <v>49</v>
      </c>
      <c r="G61" s="47">
        <f t="shared" si="0"/>
        <v>0</v>
      </c>
      <c r="H61" s="47">
        <v>84.9</v>
      </c>
      <c r="I61" s="16" t="str">
        <f t="shared" si="1"/>
        <v>SEM INFORMAÇÃO DE CUSTOS</v>
      </c>
      <c r="J61" s="5">
        <f t="shared" si="2"/>
        <v>1</v>
      </c>
      <c r="K61" s="5">
        <v>0</v>
      </c>
      <c r="L61" s="5">
        <v>1</v>
      </c>
      <c r="M61" s="5">
        <v>0</v>
      </c>
      <c r="N61" s="48">
        <f t="shared" si="3"/>
        <v>84.9</v>
      </c>
      <c r="O61" s="48">
        <f t="shared" si="4"/>
        <v>0</v>
      </c>
      <c r="P61" s="48">
        <f t="shared" si="5"/>
        <v>84.9</v>
      </c>
      <c r="Q61" s="48">
        <f t="shared" si="6"/>
        <v>0</v>
      </c>
      <c r="R61" s="5" t="s">
        <v>682</v>
      </c>
      <c r="S61" s="5" t="s">
        <v>683</v>
      </c>
      <c r="V61" s="44">
        <f t="shared" si="7"/>
        <v>84.9</v>
      </c>
    </row>
    <row r="62" spans="1:22" x14ac:dyDescent="0.2">
      <c r="A62" s="53">
        <v>1044872</v>
      </c>
      <c r="B62" s="1" t="s">
        <v>91</v>
      </c>
      <c r="C62" s="5" t="s">
        <v>49</v>
      </c>
      <c r="E62" s="47">
        <v>4.8</v>
      </c>
      <c r="F62" s="47">
        <v>9.23</v>
      </c>
      <c r="G62" s="47">
        <f t="shared" si="0"/>
        <v>14.030000000000001</v>
      </c>
      <c r="H62" s="47">
        <v>89.9</v>
      </c>
      <c r="I62" s="16">
        <f t="shared" si="1"/>
        <v>6.4076977904490375</v>
      </c>
      <c r="J62" s="5">
        <f t="shared" si="2"/>
        <v>3</v>
      </c>
      <c r="K62" s="5">
        <v>1</v>
      </c>
      <c r="L62" s="5">
        <v>2</v>
      </c>
      <c r="M62" s="5">
        <v>0</v>
      </c>
      <c r="N62" s="48">
        <f t="shared" si="3"/>
        <v>179.8</v>
      </c>
      <c r="O62" s="48">
        <f t="shared" si="4"/>
        <v>89.9</v>
      </c>
      <c r="P62" s="48">
        <f t="shared" si="5"/>
        <v>269.70000000000005</v>
      </c>
      <c r="Q62" s="48">
        <f t="shared" si="6"/>
        <v>42.09</v>
      </c>
      <c r="R62" s="5" t="s">
        <v>682</v>
      </c>
      <c r="S62" s="5" t="s">
        <v>683</v>
      </c>
      <c r="V62" s="44">
        <f t="shared" si="7"/>
        <v>179.8</v>
      </c>
    </row>
    <row r="63" spans="1:22" x14ac:dyDescent="0.2">
      <c r="A63" s="53">
        <v>1045144</v>
      </c>
      <c r="B63" s="1" t="s">
        <v>92</v>
      </c>
      <c r="C63" s="5" t="s">
        <v>49</v>
      </c>
      <c r="G63" s="47">
        <f t="shared" si="0"/>
        <v>0</v>
      </c>
      <c r="H63" s="47">
        <v>64.900000000000006</v>
      </c>
      <c r="I63" s="16" t="str">
        <f t="shared" si="1"/>
        <v>SEM INFORMAÇÃO DE CUSTOS</v>
      </c>
      <c r="J63" s="5">
        <f t="shared" si="2"/>
        <v>2</v>
      </c>
      <c r="K63" s="5">
        <v>0</v>
      </c>
      <c r="L63" s="5">
        <v>2</v>
      </c>
      <c r="M63" s="5">
        <v>0</v>
      </c>
      <c r="N63" s="48">
        <f t="shared" si="3"/>
        <v>129.80000000000001</v>
      </c>
      <c r="O63" s="48">
        <f t="shared" si="4"/>
        <v>0</v>
      </c>
      <c r="P63" s="48">
        <f t="shared" si="5"/>
        <v>129.80000000000001</v>
      </c>
      <c r="Q63" s="48">
        <f t="shared" si="6"/>
        <v>0</v>
      </c>
      <c r="R63" s="5" t="s">
        <v>682</v>
      </c>
      <c r="S63" s="5" t="s">
        <v>683</v>
      </c>
      <c r="V63" s="44">
        <f t="shared" si="7"/>
        <v>129.80000000000001</v>
      </c>
    </row>
    <row r="64" spans="1:22" x14ac:dyDescent="0.2">
      <c r="A64" s="53">
        <v>1045218</v>
      </c>
      <c r="B64" s="1" t="s">
        <v>93</v>
      </c>
      <c r="C64" s="5" t="s">
        <v>49</v>
      </c>
      <c r="E64" s="47">
        <v>16.899999999999999</v>
      </c>
      <c r="F64" s="47">
        <v>8.0399999999999991</v>
      </c>
      <c r="G64" s="47">
        <f t="shared" si="0"/>
        <v>24.939999999999998</v>
      </c>
      <c r="H64" s="47">
        <v>69.900000000000006</v>
      </c>
      <c r="I64" s="16">
        <f t="shared" si="1"/>
        <v>2.802726543704892</v>
      </c>
      <c r="J64" s="5">
        <f t="shared" si="2"/>
        <v>3</v>
      </c>
      <c r="K64" s="5">
        <v>0</v>
      </c>
      <c r="L64" s="5">
        <v>3</v>
      </c>
      <c r="M64" s="5">
        <v>0</v>
      </c>
      <c r="N64" s="48">
        <f t="shared" si="3"/>
        <v>209.70000000000002</v>
      </c>
      <c r="O64" s="48">
        <f t="shared" si="4"/>
        <v>0</v>
      </c>
      <c r="P64" s="48">
        <f t="shared" si="5"/>
        <v>209.70000000000002</v>
      </c>
      <c r="Q64" s="48">
        <f t="shared" si="6"/>
        <v>74.819999999999993</v>
      </c>
      <c r="R64" s="5" t="s">
        <v>682</v>
      </c>
      <c r="S64" s="5" t="s">
        <v>683</v>
      </c>
      <c r="V64" s="44">
        <f t="shared" si="7"/>
        <v>209.70000000000002</v>
      </c>
    </row>
    <row r="65" spans="1:22" x14ac:dyDescent="0.2">
      <c r="A65" s="53" t="s">
        <v>94</v>
      </c>
      <c r="B65" s="1" t="s">
        <v>95</v>
      </c>
      <c r="C65" s="5" t="s">
        <v>49</v>
      </c>
      <c r="E65" s="47">
        <v>16.899999999999999</v>
      </c>
      <c r="F65" s="47">
        <v>8.0399999999999991</v>
      </c>
      <c r="G65" s="47">
        <f t="shared" si="0"/>
        <v>24.939999999999998</v>
      </c>
      <c r="H65" s="47">
        <v>99.9</v>
      </c>
      <c r="I65" s="16">
        <f t="shared" si="1"/>
        <v>4.005613472333601</v>
      </c>
      <c r="J65" s="5">
        <f t="shared" si="2"/>
        <v>2</v>
      </c>
      <c r="K65" s="5">
        <v>0</v>
      </c>
      <c r="L65" s="5">
        <v>2</v>
      </c>
      <c r="M65" s="5">
        <v>0</v>
      </c>
      <c r="N65" s="48">
        <f t="shared" si="3"/>
        <v>199.8</v>
      </c>
      <c r="O65" s="48">
        <f t="shared" si="4"/>
        <v>0</v>
      </c>
      <c r="P65" s="48">
        <f t="shared" si="5"/>
        <v>199.8</v>
      </c>
      <c r="Q65" s="48">
        <f t="shared" si="6"/>
        <v>49.879999999999995</v>
      </c>
      <c r="R65" s="5" t="s">
        <v>682</v>
      </c>
      <c r="S65" s="5" t="s">
        <v>683</v>
      </c>
      <c r="V65" s="44">
        <f t="shared" si="7"/>
        <v>199.8</v>
      </c>
    </row>
    <row r="66" spans="1:22" x14ac:dyDescent="0.2">
      <c r="A66" s="53">
        <v>1045220</v>
      </c>
      <c r="B66" s="1" t="s">
        <v>96</v>
      </c>
      <c r="C66" s="5" t="s">
        <v>49</v>
      </c>
      <c r="G66" s="47">
        <f t="shared" si="0"/>
        <v>0</v>
      </c>
      <c r="H66" s="47">
        <v>149.9</v>
      </c>
      <c r="I66" s="16" t="str">
        <f t="shared" si="1"/>
        <v>SEM INFORMAÇÃO DE CUSTOS</v>
      </c>
      <c r="J66" s="5">
        <f t="shared" si="2"/>
        <v>1</v>
      </c>
      <c r="K66" s="5">
        <v>0</v>
      </c>
      <c r="L66" s="5">
        <v>1</v>
      </c>
      <c r="M66" s="5">
        <v>0</v>
      </c>
      <c r="N66" s="48">
        <f t="shared" ref="N66:N129" si="8">L66*H66</f>
        <v>149.9</v>
      </c>
      <c r="O66" s="48">
        <f t="shared" si="4"/>
        <v>0</v>
      </c>
      <c r="P66" s="48">
        <f t="shared" si="5"/>
        <v>149.9</v>
      </c>
      <c r="Q66" s="48">
        <f t="shared" si="6"/>
        <v>0</v>
      </c>
      <c r="R66" s="5" t="s">
        <v>682</v>
      </c>
      <c r="S66" s="5" t="s">
        <v>683</v>
      </c>
      <c r="V66" s="44">
        <f t="shared" si="7"/>
        <v>149.9</v>
      </c>
    </row>
    <row r="67" spans="1:22" x14ac:dyDescent="0.2">
      <c r="A67" s="53">
        <v>1045227</v>
      </c>
      <c r="B67" s="1" t="s">
        <v>97</v>
      </c>
      <c r="C67" s="5" t="s">
        <v>49</v>
      </c>
      <c r="E67" s="47">
        <v>17.899999999999999</v>
      </c>
      <c r="F67" s="47">
        <v>11.61</v>
      </c>
      <c r="G67" s="47">
        <f t="shared" ref="G67:G130" si="9">SUM(E67:F67)</f>
        <v>29.509999999999998</v>
      </c>
      <c r="H67" s="47">
        <v>149.9</v>
      </c>
      <c r="I67" s="16">
        <f t="shared" ref="I67:I130" si="10">IFERROR(H67/G67*100%,"SEM INFORMAÇÃO DE CUSTOS")</f>
        <v>5.0796340223653003</v>
      </c>
      <c r="J67" s="5">
        <f t="shared" ref="J67:J130" si="11">K67+L67</f>
        <v>2</v>
      </c>
      <c r="K67" s="5">
        <v>0</v>
      </c>
      <c r="L67" s="5">
        <v>2</v>
      </c>
      <c r="M67" s="5">
        <v>0</v>
      </c>
      <c r="N67" s="48">
        <f t="shared" si="8"/>
        <v>299.8</v>
      </c>
      <c r="O67" s="48">
        <f t="shared" ref="O67:O130" si="12">K67*H67</f>
        <v>0</v>
      </c>
      <c r="P67" s="48">
        <f t="shared" ref="P67:P130" si="13">O67+N67</f>
        <v>299.8</v>
      </c>
      <c r="Q67" s="48">
        <f t="shared" ref="Q67:Q130" si="14">J67*G67</f>
        <v>59.019999999999996</v>
      </c>
      <c r="R67" s="5" t="s">
        <v>682</v>
      </c>
      <c r="S67" s="5" t="s">
        <v>683</v>
      </c>
      <c r="V67" s="44">
        <f t="shared" ref="V67:V130" si="15">L67*H67</f>
        <v>299.8</v>
      </c>
    </row>
    <row r="68" spans="1:22" x14ac:dyDescent="0.2">
      <c r="A68" s="53">
        <v>1045384</v>
      </c>
      <c r="B68" s="1" t="s">
        <v>98</v>
      </c>
      <c r="C68" s="5" t="s">
        <v>49</v>
      </c>
      <c r="G68" s="47">
        <f t="shared" si="9"/>
        <v>0</v>
      </c>
      <c r="H68" s="47">
        <v>66.900000000000006</v>
      </c>
      <c r="I68" s="16" t="str">
        <f t="shared" si="10"/>
        <v>SEM INFORMAÇÃO DE CUSTOS</v>
      </c>
      <c r="J68" s="5">
        <f t="shared" si="11"/>
        <v>0</v>
      </c>
      <c r="K68" s="5">
        <v>0</v>
      </c>
      <c r="L68" s="5">
        <v>0</v>
      </c>
      <c r="M68" s="5">
        <v>0</v>
      </c>
      <c r="N68" s="48">
        <f t="shared" si="8"/>
        <v>0</v>
      </c>
      <c r="O68" s="48">
        <f t="shared" si="12"/>
        <v>0</v>
      </c>
      <c r="P68" s="48">
        <f t="shared" si="13"/>
        <v>0</v>
      </c>
      <c r="Q68" s="48">
        <f t="shared" si="14"/>
        <v>0</v>
      </c>
      <c r="R68" s="5" t="s">
        <v>682</v>
      </c>
      <c r="S68" s="5" t="s">
        <v>683</v>
      </c>
      <c r="V68" s="44">
        <f t="shared" si="15"/>
        <v>0</v>
      </c>
    </row>
    <row r="69" spans="1:22" x14ac:dyDescent="0.2">
      <c r="A69" s="53">
        <v>1045492</v>
      </c>
      <c r="B69" s="1" t="s">
        <v>99</v>
      </c>
      <c r="C69" s="5" t="s">
        <v>49</v>
      </c>
      <c r="G69" s="47">
        <f t="shared" si="9"/>
        <v>0</v>
      </c>
      <c r="H69" s="47">
        <v>149.9</v>
      </c>
      <c r="I69" s="16" t="str">
        <f t="shared" si="10"/>
        <v>SEM INFORMAÇÃO DE CUSTOS</v>
      </c>
      <c r="J69" s="5">
        <f t="shared" si="11"/>
        <v>1</v>
      </c>
      <c r="K69" s="5">
        <v>0</v>
      </c>
      <c r="L69" s="5">
        <v>1</v>
      </c>
      <c r="M69" s="5">
        <v>0</v>
      </c>
      <c r="N69" s="48">
        <f t="shared" si="8"/>
        <v>149.9</v>
      </c>
      <c r="O69" s="48">
        <f t="shared" si="12"/>
        <v>0</v>
      </c>
      <c r="P69" s="48">
        <f t="shared" si="13"/>
        <v>149.9</v>
      </c>
      <c r="Q69" s="48">
        <f t="shared" si="14"/>
        <v>0</v>
      </c>
      <c r="R69" s="5" t="s">
        <v>682</v>
      </c>
      <c r="S69" s="5" t="s">
        <v>683</v>
      </c>
      <c r="V69" s="44">
        <f t="shared" si="15"/>
        <v>149.9</v>
      </c>
    </row>
    <row r="70" spans="1:22" x14ac:dyDescent="0.2">
      <c r="A70" s="53">
        <v>1045821</v>
      </c>
      <c r="B70" s="1" t="s">
        <v>100</v>
      </c>
      <c r="C70" s="5" t="s">
        <v>49</v>
      </c>
      <c r="G70" s="47">
        <f t="shared" si="9"/>
        <v>0</v>
      </c>
      <c r="H70" s="47">
        <v>89.9</v>
      </c>
      <c r="I70" s="16" t="str">
        <f t="shared" si="10"/>
        <v>SEM INFORMAÇÃO DE CUSTOS</v>
      </c>
      <c r="J70" s="5">
        <f t="shared" si="11"/>
        <v>1</v>
      </c>
      <c r="K70" s="5">
        <v>0</v>
      </c>
      <c r="L70" s="5">
        <v>1</v>
      </c>
      <c r="M70" s="5">
        <v>0</v>
      </c>
      <c r="N70" s="48">
        <f t="shared" si="8"/>
        <v>89.9</v>
      </c>
      <c r="O70" s="48">
        <f t="shared" si="12"/>
        <v>0</v>
      </c>
      <c r="P70" s="48">
        <f t="shared" si="13"/>
        <v>89.9</v>
      </c>
      <c r="Q70" s="48">
        <f t="shared" si="14"/>
        <v>0</v>
      </c>
      <c r="R70" s="5" t="s">
        <v>682</v>
      </c>
      <c r="S70" s="5" t="s">
        <v>683</v>
      </c>
      <c r="V70" s="44">
        <f t="shared" si="15"/>
        <v>89.9</v>
      </c>
    </row>
    <row r="71" spans="1:22" x14ac:dyDescent="0.2">
      <c r="A71" s="53">
        <v>1045830</v>
      </c>
      <c r="B71" s="1" t="s">
        <v>101</v>
      </c>
      <c r="C71" s="5" t="s">
        <v>49</v>
      </c>
      <c r="G71" s="47">
        <f t="shared" si="9"/>
        <v>0</v>
      </c>
      <c r="H71" s="47">
        <v>135.9</v>
      </c>
      <c r="I71" s="16" t="str">
        <f t="shared" si="10"/>
        <v>SEM INFORMAÇÃO DE CUSTOS</v>
      </c>
      <c r="J71" s="5">
        <f t="shared" si="11"/>
        <v>0</v>
      </c>
      <c r="K71" s="5">
        <v>0</v>
      </c>
      <c r="L71" s="5">
        <v>0</v>
      </c>
      <c r="M71" s="5">
        <v>0</v>
      </c>
      <c r="N71" s="48">
        <f t="shared" si="8"/>
        <v>0</v>
      </c>
      <c r="O71" s="48">
        <f t="shared" si="12"/>
        <v>0</v>
      </c>
      <c r="P71" s="48">
        <f t="shared" si="13"/>
        <v>0</v>
      </c>
      <c r="Q71" s="48">
        <f t="shared" si="14"/>
        <v>0</v>
      </c>
      <c r="R71" s="5" t="s">
        <v>682</v>
      </c>
      <c r="S71" s="5" t="s">
        <v>683</v>
      </c>
      <c r="V71" s="44">
        <f t="shared" si="15"/>
        <v>0</v>
      </c>
    </row>
    <row r="72" spans="1:22" x14ac:dyDescent="0.2">
      <c r="A72" s="53">
        <v>1045889</v>
      </c>
      <c r="B72" s="1" t="s">
        <v>102</v>
      </c>
      <c r="C72" s="5" t="s">
        <v>49</v>
      </c>
      <c r="G72" s="47">
        <f t="shared" si="9"/>
        <v>0</v>
      </c>
      <c r="H72" s="47">
        <v>169.9</v>
      </c>
      <c r="I72" s="16" t="str">
        <f t="shared" si="10"/>
        <v>SEM INFORMAÇÃO DE CUSTOS</v>
      </c>
      <c r="J72" s="5">
        <f t="shared" si="11"/>
        <v>1</v>
      </c>
      <c r="K72" s="5">
        <v>0</v>
      </c>
      <c r="L72" s="5">
        <v>1</v>
      </c>
      <c r="M72" s="5">
        <v>0</v>
      </c>
      <c r="N72" s="48">
        <f t="shared" si="8"/>
        <v>169.9</v>
      </c>
      <c r="O72" s="48">
        <f t="shared" si="12"/>
        <v>0</v>
      </c>
      <c r="P72" s="48">
        <f t="shared" si="13"/>
        <v>169.9</v>
      </c>
      <c r="Q72" s="48">
        <f t="shared" si="14"/>
        <v>0</v>
      </c>
      <c r="R72" s="5" t="s">
        <v>682</v>
      </c>
      <c r="S72" s="5" t="s">
        <v>683</v>
      </c>
      <c r="V72" s="44">
        <f t="shared" si="15"/>
        <v>169.9</v>
      </c>
    </row>
    <row r="73" spans="1:22" x14ac:dyDescent="0.2">
      <c r="A73" s="53">
        <v>1045917</v>
      </c>
      <c r="B73" s="1" t="s">
        <v>103</v>
      </c>
      <c r="C73" s="5" t="s">
        <v>49</v>
      </c>
      <c r="G73" s="47">
        <f t="shared" si="9"/>
        <v>0</v>
      </c>
      <c r="H73" s="47">
        <v>199.35</v>
      </c>
      <c r="I73" s="16" t="str">
        <f t="shared" si="10"/>
        <v>SEM INFORMAÇÃO DE CUSTOS</v>
      </c>
      <c r="J73" s="5">
        <f t="shared" si="11"/>
        <v>1</v>
      </c>
      <c r="K73" s="5">
        <v>0</v>
      </c>
      <c r="L73" s="5">
        <v>1</v>
      </c>
      <c r="M73" s="5">
        <v>0</v>
      </c>
      <c r="N73" s="48">
        <f t="shared" si="8"/>
        <v>199.35</v>
      </c>
      <c r="O73" s="48">
        <f t="shared" si="12"/>
        <v>0</v>
      </c>
      <c r="P73" s="48">
        <f t="shared" si="13"/>
        <v>199.35</v>
      </c>
      <c r="Q73" s="48">
        <f t="shared" si="14"/>
        <v>0</v>
      </c>
      <c r="R73" s="5" t="s">
        <v>682</v>
      </c>
      <c r="S73" s="5" t="s">
        <v>683</v>
      </c>
      <c r="V73" s="44">
        <f t="shared" si="15"/>
        <v>199.35</v>
      </c>
    </row>
    <row r="74" spans="1:22" x14ac:dyDescent="0.2">
      <c r="A74" s="53">
        <v>1045968</v>
      </c>
      <c r="B74" s="1" t="s">
        <v>104</v>
      </c>
      <c r="C74" s="5" t="s">
        <v>49</v>
      </c>
      <c r="E74" s="47">
        <v>19.25</v>
      </c>
      <c r="F74" s="47">
        <v>19.350000000000001</v>
      </c>
      <c r="G74" s="47">
        <f t="shared" si="9"/>
        <v>38.6</v>
      </c>
      <c r="H74" s="47">
        <v>154.9</v>
      </c>
      <c r="I74" s="16">
        <f t="shared" si="10"/>
        <v>4.0129533678756477</v>
      </c>
      <c r="J74" s="5">
        <f t="shared" si="11"/>
        <v>2</v>
      </c>
      <c r="K74" s="5">
        <v>0</v>
      </c>
      <c r="L74" s="5">
        <v>2</v>
      </c>
      <c r="M74" s="5">
        <v>0</v>
      </c>
      <c r="N74" s="48">
        <f t="shared" si="8"/>
        <v>309.8</v>
      </c>
      <c r="O74" s="48">
        <f t="shared" si="12"/>
        <v>0</v>
      </c>
      <c r="P74" s="48">
        <f t="shared" si="13"/>
        <v>309.8</v>
      </c>
      <c r="Q74" s="48">
        <f t="shared" si="14"/>
        <v>77.2</v>
      </c>
      <c r="R74" s="5" t="s">
        <v>682</v>
      </c>
      <c r="S74" s="5" t="s">
        <v>683</v>
      </c>
      <c r="V74" s="44">
        <f t="shared" si="15"/>
        <v>309.8</v>
      </c>
    </row>
    <row r="75" spans="1:22" x14ac:dyDescent="0.2">
      <c r="A75" s="53">
        <v>1045984</v>
      </c>
      <c r="B75" s="1" t="s">
        <v>105</v>
      </c>
      <c r="C75" s="5" t="s">
        <v>49</v>
      </c>
      <c r="G75" s="47">
        <f t="shared" si="9"/>
        <v>0</v>
      </c>
      <c r="H75" s="47">
        <v>159.9</v>
      </c>
      <c r="I75" s="16" t="str">
        <f t="shared" si="10"/>
        <v>SEM INFORMAÇÃO DE CUSTOS</v>
      </c>
      <c r="J75" s="5">
        <f t="shared" si="11"/>
        <v>1</v>
      </c>
      <c r="K75" s="5">
        <v>0</v>
      </c>
      <c r="L75" s="5">
        <v>1</v>
      </c>
      <c r="M75" s="5">
        <v>0</v>
      </c>
      <c r="N75" s="48">
        <f t="shared" si="8"/>
        <v>159.9</v>
      </c>
      <c r="O75" s="48">
        <f t="shared" si="12"/>
        <v>0</v>
      </c>
      <c r="P75" s="48">
        <f t="shared" si="13"/>
        <v>159.9</v>
      </c>
      <c r="Q75" s="48">
        <f t="shared" si="14"/>
        <v>0</v>
      </c>
      <c r="R75" s="5" t="s">
        <v>682</v>
      </c>
      <c r="S75" s="5" t="s">
        <v>683</v>
      </c>
      <c r="V75" s="44">
        <f t="shared" si="15"/>
        <v>159.9</v>
      </c>
    </row>
    <row r="76" spans="1:22" x14ac:dyDescent="0.2">
      <c r="A76" s="53">
        <v>1046152</v>
      </c>
      <c r="B76" s="1" t="s">
        <v>106</v>
      </c>
      <c r="C76" s="5" t="s">
        <v>49</v>
      </c>
      <c r="G76" s="47">
        <f t="shared" si="9"/>
        <v>0</v>
      </c>
      <c r="H76" s="47">
        <v>171.9</v>
      </c>
      <c r="I76" s="16" t="str">
        <f t="shared" si="10"/>
        <v>SEM INFORMAÇÃO DE CUSTOS</v>
      </c>
      <c r="J76" s="5">
        <f t="shared" si="11"/>
        <v>0</v>
      </c>
      <c r="K76" s="5">
        <v>0</v>
      </c>
      <c r="L76" s="5">
        <v>0</v>
      </c>
      <c r="M76" s="5">
        <v>0</v>
      </c>
      <c r="N76" s="48">
        <f t="shared" si="8"/>
        <v>0</v>
      </c>
      <c r="O76" s="48">
        <f t="shared" si="12"/>
        <v>0</v>
      </c>
      <c r="P76" s="48">
        <f t="shared" si="13"/>
        <v>0</v>
      </c>
      <c r="Q76" s="48">
        <f t="shared" si="14"/>
        <v>0</v>
      </c>
      <c r="R76" s="5" t="s">
        <v>682</v>
      </c>
      <c r="S76" s="5" t="s">
        <v>683</v>
      </c>
      <c r="V76" s="44">
        <f t="shared" si="15"/>
        <v>0</v>
      </c>
    </row>
    <row r="77" spans="1:22" x14ac:dyDescent="0.2">
      <c r="A77" s="53">
        <v>12006942</v>
      </c>
      <c r="B77" s="1" t="s">
        <v>107</v>
      </c>
      <c r="C77" s="5" t="s">
        <v>360</v>
      </c>
      <c r="E77" s="47">
        <v>8.4</v>
      </c>
      <c r="F77" s="47">
        <v>12.37</v>
      </c>
      <c r="G77" s="47">
        <f t="shared" si="9"/>
        <v>20.77</v>
      </c>
      <c r="H77" s="47">
        <v>149.9</v>
      </c>
      <c r="I77" s="16">
        <f t="shared" si="10"/>
        <v>7.2171401059220033</v>
      </c>
      <c r="J77" s="5">
        <f t="shared" si="11"/>
        <v>4</v>
      </c>
      <c r="K77" s="5">
        <v>0</v>
      </c>
      <c r="L77" s="5">
        <v>4</v>
      </c>
      <c r="M77" s="5">
        <v>0</v>
      </c>
      <c r="N77" s="48">
        <f t="shared" si="8"/>
        <v>599.6</v>
      </c>
      <c r="O77" s="48">
        <f t="shared" si="12"/>
        <v>0</v>
      </c>
      <c r="P77" s="48">
        <f t="shared" si="13"/>
        <v>599.6</v>
      </c>
      <c r="Q77" s="48">
        <f t="shared" si="14"/>
        <v>83.08</v>
      </c>
      <c r="R77" s="5" t="s">
        <v>682</v>
      </c>
      <c r="S77" s="5" t="s">
        <v>683</v>
      </c>
      <c r="V77" s="44">
        <f t="shared" si="15"/>
        <v>599.6</v>
      </c>
    </row>
    <row r="78" spans="1:22" x14ac:dyDescent="0.2">
      <c r="A78" s="53">
        <v>12007344</v>
      </c>
      <c r="B78" s="1" t="s">
        <v>108</v>
      </c>
      <c r="C78" s="5" t="s">
        <v>360</v>
      </c>
      <c r="E78" s="47">
        <v>18.05</v>
      </c>
      <c r="F78" s="47">
        <v>12.43</v>
      </c>
      <c r="G78" s="47">
        <f t="shared" si="9"/>
        <v>30.48</v>
      </c>
      <c r="H78" s="47">
        <v>159.9</v>
      </c>
      <c r="I78" s="16">
        <f t="shared" si="10"/>
        <v>5.2460629921259843</v>
      </c>
      <c r="J78" s="5">
        <f t="shared" si="11"/>
        <v>4</v>
      </c>
      <c r="K78" s="5">
        <v>0</v>
      </c>
      <c r="L78" s="5">
        <v>4</v>
      </c>
      <c r="M78" s="5">
        <v>0</v>
      </c>
      <c r="N78" s="48">
        <f t="shared" si="8"/>
        <v>639.6</v>
      </c>
      <c r="O78" s="48">
        <f t="shared" si="12"/>
        <v>0</v>
      </c>
      <c r="P78" s="48">
        <f t="shared" si="13"/>
        <v>639.6</v>
      </c>
      <c r="Q78" s="48">
        <f t="shared" si="14"/>
        <v>121.92</v>
      </c>
      <c r="R78" s="5" t="s">
        <v>682</v>
      </c>
      <c r="S78" s="5" t="s">
        <v>683</v>
      </c>
      <c r="V78" s="44">
        <f t="shared" si="15"/>
        <v>639.6</v>
      </c>
    </row>
    <row r="79" spans="1:22" x14ac:dyDescent="0.2">
      <c r="A79" s="53">
        <v>12007691</v>
      </c>
      <c r="B79" s="1" t="s">
        <v>109</v>
      </c>
      <c r="C79" s="5" t="s">
        <v>360</v>
      </c>
      <c r="G79" s="47">
        <f t="shared" si="9"/>
        <v>0</v>
      </c>
      <c r="H79" s="47">
        <v>169.9</v>
      </c>
      <c r="I79" s="16" t="str">
        <f t="shared" si="10"/>
        <v>SEM INFORMAÇÃO DE CUSTOS</v>
      </c>
      <c r="J79" s="5">
        <f t="shared" si="11"/>
        <v>1</v>
      </c>
      <c r="K79" s="5">
        <v>0</v>
      </c>
      <c r="L79" s="5">
        <v>1</v>
      </c>
      <c r="M79" s="5">
        <v>0</v>
      </c>
      <c r="N79" s="48">
        <f t="shared" si="8"/>
        <v>169.9</v>
      </c>
      <c r="O79" s="48">
        <f t="shared" si="12"/>
        <v>0</v>
      </c>
      <c r="P79" s="48">
        <f t="shared" si="13"/>
        <v>169.9</v>
      </c>
      <c r="Q79" s="48">
        <f t="shared" si="14"/>
        <v>0</v>
      </c>
      <c r="R79" s="5" t="s">
        <v>682</v>
      </c>
      <c r="S79" s="5" t="s">
        <v>683</v>
      </c>
      <c r="V79" s="44">
        <f t="shared" si="15"/>
        <v>169.9</v>
      </c>
    </row>
    <row r="80" spans="1:22" x14ac:dyDescent="0.2">
      <c r="A80" s="53">
        <v>12007810</v>
      </c>
      <c r="B80" s="1" t="s">
        <v>110</v>
      </c>
      <c r="C80" s="5" t="s">
        <v>360</v>
      </c>
      <c r="G80" s="47">
        <f t="shared" si="9"/>
        <v>0</v>
      </c>
      <c r="H80" s="47">
        <v>149.9</v>
      </c>
      <c r="I80" s="16" t="str">
        <f t="shared" si="10"/>
        <v>SEM INFORMAÇÃO DE CUSTOS</v>
      </c>
      <c r="J80" s="5">
        <f t="shared" si="11"/>
        <v>0</v>
      </c>
      <c r="K80" s="5">
        <v>0</v>
      </c>
      <c r="L80" s="5">
        <v>0</v>
      </c>
      <c r="M80" s="5">
        <v>0</v>
      </c>
      <c r="N80" s="48">
        <f t="shared" si="8"/>
        <v>0</v>
      </c>
      <c r="O80" s="48">
        <f t="shared" si="12"/>
        <v>0</v>
      </c>
      <c r="P80" s="48">
        <f t="shared" si="13"/>
        <v>0</v>
      </c>
      <c r="Q80" s="48">
        <f t="shared" si="14"/>
        <v>0</v>
      </c>
      <c r="R80" s="5" t="s">
        <v>682</v>
      </c>
      <c r="S80" s="5" t="s">
        <v>683</v>
      </c>
      <c r="V80" s="44">
        <f t="shared" si="15"/>
        <v>0</v>
      </c>
    </row>
    <row r="81" spans="1:24" x14ac:dyDescent="0.2">
      <c r="A81" s="53">
        <v>12007928</v>
      </c>
      <c r="B81" s="1" t="s">
        <v>111</v>
      </c>
      <c r="C81" s="5" t="s">
        <v>360</v>
      </c>
      <c r="G81" s="47">
        <f t="shared" si="9"/>
        <v>0</v>
      </c>
      <c r="H81" s="47">
        <v>111.9</v>
      </c>
      <c r="I81" s="16" t="str">
        <f t="shared" si="10"/>
        <v>SEM INFORMAÇÃO DE CUSTOS</v>
      </c>
      <c r="J81" s="5">
        <f t="shared" si="11"/>
        <v>1</v>
      </c>
      <c r="K81" s="5">
        <v>0</v>
      </c>
      <c r="L81" s="5">
        <v>1</v>
      </c>
      <c r="M81" s="5">
        <v>0</v>
      </c>
      <c r="N81" s="48">
        <f t="shared" si="8"/>
        <v>111.9</v>
      </c>
      <c r="O81" s="48">
        <f t="shared" si="12"/>
        <v>0</v>
      </c>
      <c r="P81" s="48">
        <f t="shared" si="13"/>
        <v>111.9</v>
      </c>
      <c r="Q81" s="48">
        <f t="shared" si="14"/>
        <v>0</v>
      </c>
      <c r="R81" s="5" t="s">
        <v>682</v>
      </c>
      <c r="S81" s="5" t="s">
        <v>683</v>
      </c>
      <c r="V81" s="44">
        <f t="shared" si="15"/>
        <v>111.9</v>
      </c>
    </row>
    <row r="82" spans="1:24" x14ac:dyDescent="0.2">
      <c r="A82" s="53">
        <v>12008030</v>
      </c>
      <c r="B82" s="1" t="s">
        <v>112</v>
      </c>
      <c r="C82" s="5" t="s">
        <v>360</v>
      </c>
      <c r="G82" s="47">
        <f t="shared" si="9"/>
        <v>0</v>
      </c>
      <c r="H82" s="47">
        <v>269.89999999999998</v>
      </c>
      <c r="I82" s="16" t="str">
        <f t="shared" si="10"/>
        <v>SEM INFORMAÇÃO DE CUSTOS</v>
      </c>
      <c r="J82" s="5">
        <f t="shared" si="11"/>
        <v>1</v>
      </c>
      <c r="K82" s="5">
        <v>1</v>
      </c>
      <c r="L82" s="5">
        <v>0</v>
      </c>
      <c r="M82" s="5">
        <v>0</v>
      </c>
      <c r="N82" s="48">
        <f t="shared" si="8"/>
        <v>0</v>
      </c>
      <c r="O82" s="48">
        <f t="shared" si="12"/>
        <v>269.89999999999998</v>
      </c>
      <c r="P82" s="48">
        <f t="shared" si="13"/>
        <v>269.89999999999998</v>
      </c>
      <c r="Q82" s="48">
        <f t="shared" si="14"/>
        <v>0</v>
      </c>
      <c r="R82" s="5" t="s">
        <v>682</v>
      </c>
      <c r="S82" s="5" t="s">
        <v>683</v>
      </c>
      <c r="V82" s="44">
        <f t="shared" si="15"/>
        <v>0</v>
      </c>
    </row>
    <row r="83" spans="1:24" x14ac:dyDescent="0.2">
      <c r="A83" s="53">
        <v>12008176</v>
      </c>
      <c r="B83" s="1" t="s">
        <v>113</v>
      </c>
      <c r="C83" s="5" t="s">
        <v>360</v>
      </c>
      <c r="G83" s="47">
        <f t="shared" si="9"/>
        <v>0</v>
      </c>
      <c r="H83" s="47">
        <v>281.89999999999998</v>
      </c>
      <c r="I83" s="16" t="str">
        <f t="shared" si="10"/>
        <v>SEM INFORMAÇÃO DE CUSTOS</v>
      </c>
      <c r="J83" s="5">
        <f t="shared" si="11"/>
        <v>2</v>
      </c>
      <c r="K83" s="5">
        <v>1</v>
      </c>
      <c r="L83" s="5">
        <v>1</v>
      </c>
      <c r="M83" s="5">
        <v>0</v>
      </c>
      <c r="N83" s="48">
        <f t="shared" si="8"/>
        <v>281.89999999999998</v>
      </c>
      <c r="O83" s="48">
        <f t="shared" si="12"/>
        <v>281.89999999999998</v>
      </c>
      <c r="P83" s="48">
        <f t="shared" si="13"/>
        <v>563.79999999999995</v>
      </c>
      <c r="Q83" s="48">
        <f t="shared" si="14"/>
        <v>0</v>
      </c>
      <c r="R83" s="5" t="s">
        <v>682</v>
      </c>
      <c r="S83" s="5" t="s">
        <v>683</v>
      </c>
      <c r="V83" s="44">
        <f t="shared" si="15"/>
        <v>281.89999999999998</v>
      </c>
    </row>
    <row r="84" spans="1:24" x14ac:dyDescent="0.2">
      <c r="A84" s="53">
        <v>12008351</v>
      </c>
      <c r="B84" s="1" t="s">
        <v>113</v>
      </c>
      <c r="C84" s="5" t="s">
        <v>360</v>
      </c>
      <c r="G84" s="47">
        <f t="shared" si="9"/>
        <v>0</v>
      </c>
      <c r="H84" s="47">
        <v>149.9</v>
      </c>
      <c r="I84" s="16" t="str">
        <f t="shared" si="10"/>
        <v>SEM INFORMAÇÃO DE CUSTOS</v>
      </c>
      <c r="J84" s="5">
        <f t="shared" si="11"/>
        <v>1</v>
      </c>
      <c r="K84" s="5">
        <v>0</v>
      </c>
      <c r="L84" s="5">
        <v>1</v>
      </c>
      <c r="M84" s="5">
        <v>0</v>
      </c>
      <c r="N84" s="48">
        <f t="shared" si="8"/>
        <v>149.9</v>
      </c>
      <c r="O84" s="48">
        <f t="shared" si="12"/>
        <v>0</v>
      </c>
      <c r="P84" s="48">
        <f t="shared" si="13"/>
        <v>149.9</v>
      </c>
      <c r="Q84" s="48">
        <f t="shared" si="14"/>
        <v>0</v>
      </c>
      <c r="R84" s="5" t="s">
        <v>682</v>
      </c>
      <c r="S84" s="5" t="s">
        <v>683</v>
      </c>
      <c r="V84" s="44">
        <f t="shared" si="15"/>
        <v>149.9</v>
      </c>
    </row>
    <row r="85" spans="1:24" x14ac:dyDescent="0.2">
      <c r="A85" s="53">
        <v>12008615</v>
      </c>
      <c r="B85" s="1" t="s">
        <v>114</v>
      </c>
      <c r="C85" s="5" t="s">
        <v>360</v>
      </c>
      <c r="G85" s="47">
        <f t="shared" si="9"/>
        <v>0</v>
      </c>
      <c r="H85" s="47">
        <v>159.9</v>
      </c>
      <c r="I85" s="16" t="str">
        <f t="shared" si="10"/>
        <v>SEM INFORMAÇÃO DE CUSTOS</v>
      </c>
      <c r="J85" s="5">
        <f t="shared" si="11"/>
        <v>0</v>
      </c>
      <c r="K85" s="5">
        <v>0</v>
      </c>
      <c r="L85" s="5">
        <v>0</v>
      </c>
      <c r="M85" s="5">
        <v>0</v>
      </c>
      <c r="N85" s="48">
        <f t="shared" si="8"/>
        <v>0</v>
      </c>
      <c r="O85" s="48">
        <f t="shared" si="12"/>
        <v>0</v>
      </c>
      <c r="P85" s="48">
        <f t="shared" si="13"/>
        <v>0</v>
      </c>
      <c r="Q85" s="48">
        <f t="shared" si="14"/>
        <v>0</v>
      </c>
      <c r="R85" s="5" t="s">
        <v>682</v>
      </c>
      <c r="S85" s="5" t="s">
        <v>683</v>
      </c>
      <c r="V85" s="44">
        <f t="shared" si="15"/>
        <v>0</v>
      </c>
    </row>
    <row r="86" spans="1:24" x14ac:dyDescent="0.2">
      <c r="A86" s="53">
        <v>12008620</v>
      </c>
      <c r="B86" s="1" t="s">
        <v>115</v>
      </c>
      <c r="C86" s="5" t="s">
        <v>360</v>
      </c>
      <c r="G86" s="47">
        <f t="shared" si="9"/>
        <v>0</v>
      </c>
      <c r="H86" s="47">
        <v>159.9</v>
      </c>
      <c r="I86" s="16" t="str">
        <f t="shared" si="10"/>
        <v>SEM INFORMAÇÃO DE CUSTOS</v>
      </c>
      <c r="J86" s="5">
        <f t="shared" si="11"/>
        <v>0</v>
      </c>
      <c r="K86" s="5">
        <v>0</v>
      </c>
      <c r="L86" s="5">
        <v>0</v>
      </c>
      <c r="M86" s="5">
        <v>0</v>
      </c>
      <c r="N86" s="48">
        <f t="shared" si="8"/>
        <v>0</v>
      </c>
      <c r="O86" s="48">
        <f t="shared" si="12"/>
        <v>0</v>
      </c>
      <c r="P86" s="48">
        <f t="shared" si="13"/>
        <v>0</v>
      </c>
      <c r="Q86" s="48">
        <f t="shared" si="14"/>
        <v>0</v>
      </c>
      <c r="R86" s="5" t="s">
        <v>682</v>
      </c>
      <c r="S86" s="5" t="s">
        <v>683</v>
      </c>
      <c r="V86" s="44">
        <f t="shared" si="15"/>
        <v>0</v>
      </c>
    </row>
    <row r="87" spans="1:24" x14ac:dyDescent="0.2">
      <c r="A87" s="53">
        <v>12008665</v>
      </c>
      <c r="B87" s="1" t="s">
        <v>116</v>
      </c>
      <c r="C87" s="5" t="s">
        <v>360</v>
      </c>
      <c r="G87" s="47">
        <f t="shared" si="9"/>
        <v>0</v>
      </c>
      <c r="H87" s="47">
        <v>179.9</v>
      </c>
      <c r="I87" s="16" t="str">
        <f t="shared" si="10"/>
        <v>SEM INFORMAÇÃO DE CUSTOS</v>
      </c>
      <c r="J87" s="5">
        <f t="shared" si="11"/>
        <v>2</v>
      </c>
      <c r="K87" s="5">
        <v>0</v>
      </c>
      <c r="L87" s="5">
        <v>2</v>
      </c>
      <c r="M87" s="5">
        <v>0</v>
      </c>
      <c r="N87" s="48">
        <f t="shared" si="8"/>
        <v>359.8</v>
      </c>
      <c r="O87" s="48">
        <f t="shared" si="12"/>
        <v>0</v>
      </c>
      <c r="P87" s="48">
        <f t="shared" si="13"/>
        <v>359.8</v>
      </c>
      <c r="Q87" s="48">
        <f t="shared" si="14"/>
        <v>0</v>
      </c>
      <c r="R87" s="5" t="s">
        <v>682</v>
      </c>
      <c r="S87" s="5" t="s">
        <v>683</v>
      </c>
      <c r="V87" s="44">
        <f t="shared" si="15"/>
        <v>359.8</v>
      </c>
    </row>
    <row r="88" spans="1:24" x14ac:dyDescent="0.2">
      <c r="A88" s="53">
        <v>12009446</v>
      </c>
      <c r="B88" s="1" t="s">
        <v>117</v>
      </c>
      <c r="C88" s="5" t="s">
        <v>360</v>
      </c>
      <c r="E88" s="47">
        <v>15.93</v>
      </c>
      <c r="F88" s="47">
        <v>13.16</v>
      </c>
      <c r="G88" s="47">
        <f t="shared" si="9"/>
        <v>29.09</v>
      </c>
      <c r="H88" s="47">
        <v>179.9</v>
      </c>
      <c r="I88" s="16">
        <f t="shared" si="10"/>
        <v>6.1842557579924371</v>
      </c>
      <c r="J88" s="5">
        <f t="shared" si="11"/>
        <v>2</v>
      </c>
      <c r="K88" s="5">
        <v>0</v>
      </c>
      <c r="L88" s="5">
        <v>2</v>
      </c>
      <c r="M88" s="5">
        <v>0</v>
      </c>
      <c r="N88" s="48">
        <f t="shared" si="8"/>
        <v>359.8</v>
      </c>
      <c r="O88" s="48">
        <f t="shared" si="12"/>
        <v>0</v>
      </c>
      <c r="P88" s="48">
        <f t="shared" si="13"/>
        <v>359.8</v>
      </c>
      <c r="Q88" s="48">
        <f t="shared" si="14"/>
        <v>58.18</v>
      </c>
      <c r="R88" s="5" t="s">
        <v>682</v>
      </c>
      <c r="S88" s="5" t="s">
        <v>683</v>
      </c>
      <c r="V88" s="44">
        <f t="shared" si="15"/>
        <v>359.8</v>
      </c>
    </row>
    <row r="89" spans="1:24" x14ac:dyDescent="0.2">
      <c r="A89" s="53">
        <v>12009525</v>
      </c>
      <c r="B89" s="1" t="s">
        <v>118</v>
      </c>
      <c r="C89" s="5" t="s">
        <v>360</v>
      </c>
      <c r="E89" s="47">
        <v>14.4</v>
      </c>
      <c r="F89" s="47">
        <v>42.16</v>
      </c>
      <c r="G89" s="47">
        <f t="shared" si="9"/>
        <v>56.559999999999995</v>
      </c>
      <c r="H89" s="47">
        <v>219.9</v>
      </c>
      <c r="I89" s="16">
        <f t="shared" si="10"/>
        <v>3.8879066478076383</v>
      </c>
      <c r="J89" s="5">
        <f t="shared" si="11"/>
        <v>2</v>
      </c>
      <c r="K89" s="5">
        <v>0</v>
      </c>
      <c r="L89" s="5">
        <v>2</v>
      </c>
      <c r="M89" s="5">
        <v>0</v>
      </c>
      <c r="N89" s="48">
        <f t="shared" si="8"/>
        <v>439.8</v>
      </c>
      <c r="O89" s="48">
        <f t="shared" si="12"/>
        <v>0</v>
      </c>
      <c r="P89" s="48">
        <f t="shared" si="13"/>
        <v>439.8</v>
      </c>
      <c r="Q89" s="48">
        <f t="shared" si="14"/>
        <v>113.11999999999999</v>
      </c>
      <c r="R89" s="5" t="s">
        <v>682</v>
      </c>
      <c r="S89" s="5" t="s">
        <v>683</v>
      </c>
      <c r="V89" s="44">
        <f t="shared" si="15"/>
        <v>439.8</v>
      </c>
    </row>
    <row r="90" spans="1:24" x14ac:dyDescent="0.2">
      <c r="A90" s="53">
        <v>12010061</v>
      </c>
      <c r="B90" s="1" t="s">
        <v>119</v>
      </c>
      <c r="C90" s="5" t="s">
        <v>360</v>
      </c>
      <c r="E90" s="47">
        <v>21.4</v>
      </c>
      <c r="F90" s="47">
        <v>15.76</v>
      </c>
      <c r="G90" s="47">
        <f t="shared" si="9"/>
        <v>37.159999999999997</v>
      </c>
      <c r="H90" s="47">
        <v>169.9</v>
      </c>
      <c r="I90" s="16">
        <f t="shared" si="10"/>
        <v>4.5721205597416583</v>
      </c>
      <c r="J90" s="5">
        <f t="shared" si="11"/>
        <v>3</v>
      </c>
      <c r="K90" s="5">
        <v>1</v>
      </c>
      <c r="L90" s="5">
        <v>2</v>
      </c>
      <c r="M90" s="5">
        <v>0</v>
      </c>
      <c r="N90" s="48">
        <f t="shared" si="8"/>
        <v>339.8</v>
      </c>
      <c r="O90" s="48">
        <f t="shared" si="12"/>
        <v>169.9</v>
      </c>
      <c r="P90" s="48">
        <f t="shared" si="13"/>
        <v>509.70000000000005</v>
      </c>
      <c r="Q90" s="48">
        <f t="shared" si="14"/>
        <v>111.47999999999999</v>
      </c>
      <c r="R90" s="5" t="s">
        <v>682</v>
      </c>
      <c r="S90" s="5" t="s">
        <v>683</v>
      </c>
      <c r="V90" s="44">
        <f t="shared" si="15"/>
        <v>339.8</v>
      </c>
    </row>
    <row r="91" spans="1:24" x14ac:dyDescent="0.2">
      <c r="A91" s="53">
        <v>12010836</v>
      </c>
      <c r="B91" s="1" t="s">
        <v>120</v>
      </c>
      <c r="C91" s="5" t="s">
        <v>360</v>
      </c>
      <c r="E91" s="47">
        <v>27.45</v>
      </c>
      <c r="F91" s="47">
        <v>16.57</v>
      </c>
      <c r="G91" s="47">
        <f t="shared" si="9"/>
        <v>44.019999999999996</v>
      </c>
      <c r="H91" s="47">
        <v>199.9</v>
      </c>
      <c r="I91" s="16">
        <f t="shared" si="10"/>
        <v>4.5411176737846439</v>
      </c>
      <c r="J91" s="5">
        <f t="shared" si="11"/>
        <v>2</v>
      </c>
      <c r="K91" s="5">
        <v>0</v>
      </c>
      <c r="L91" s="5">
        <v>2</v>
      </c>
      <c r="M91" s="5">
        <v>0</v>
      </c>
      <c r="N91" s="48">
        <f t="shared" si="8"/>
        <v>399.8</v>
      </c>
      <c r="O91" s="48">
        <f t="shared" si="12"/>
        <v>0</v>
      </c>
      <c r="P91" s="48">
        <f t="shared" si="13"/>
        <v>399.8</v>
      </c>
      <c r="Q91" s="48">
        <f t="shared" si="14"/>
        <v>88.039999999999992</v>
      </c>
      <c r="R91" s="5" t="s">
        <v>682</v>
      </c>
      <c r="S91" s="5" t="s">
        <v>683</v>
      </c>
      <c r="V91" s="44">
        <f t="shared" si="15"/>
        <v>399.8</v>
      </c>
    </row>
    <row r="92" spans="1:24" x14ac:dyDescent="0.2">
      <c r="A92" s="53">
        <v>12011302</v>
      </c>
      <c r="B92" s="1" t="s">
        <v>823</v>
      </c>
      <c r="C92" s="5" t="s">
        <v>360</v>
      </c>
      <c r="E92" s="47">
        <v>6.15</v>
      </c>
      <c r="F92" s="47">
        <v>22.32</v>
      </c>
      <c r="G92" s="47">
        <f t="shared" si="9"/>
        <v>28.47</v>
      </c>
      <c r="H92" s="47">
        <v>99</v>
      </c>
      <c r="I92" s="16">
        <f t="shared" si="10"/>
        <v>3.4773445732349844</v>
      </c>
      <c r="J92" s="5">
        <f t="shared" si="11"/>
        <v>5</v>
      </c>
      <c r="K92" s="5">
        <v>1</v>
      </c>
      <c r="L92" s="5">
        <v>4</v>
      </c>
      <c r="M92" s="5">
        <v>0</v>
      </c>
      <c r="N92" s="48">
        <f t="shared" si="8"/>
        <v>396</v>
      </c>
      <c r="O92" s="48">
        <f t="shared" si="12"/>
        <v>99</v>
      </c>
      <c r="P92" s="48">
        <f t="shared" si="13"/>
        <v>495</v>
      </c>
      <c r="Q92" s="48">
        <f t="shared" si="14"/>
        <v>142.35</v>
      </c>
      <c r="R92" s="5" t="s">
        <v>682</v>
      </c>
      <c r="S92" s="5" t="s">
        <v>683</v>
      </c>
      <c r="V92" s="44">
        <v>396</v>
      </c>
      <c r="X92" s="45">
        <v>46148.706863425927</v>
      </c>
    </row>
    <row r="93" spans="1:24" x14ac:dyDescent="0.2">
      <c r="A93" s="53">
        <v>12011504</v>
      </c>
      <c r="B93" s="1" t="s">
        <v>121</v>
      </c>
      <c r="C93" s="5" t="s">
        <v>360</v>
      </c>
      <c r="E93" s="47">
        <v>5.4</v>
      </c>
      <c r="F93" s="47">
        <v>10.34</v>
      </c>
      <c r="G93" s="47">
        <f t="shared" si="9"/>
        <v>15.74</v>
      </c>
      <c r="H93" s="47">
        <v>99.9</v>
      </c>
      <c r="I93" s="16">
        <f t="shared" si="10"/>
        <v>6.346886912325286</v>
      </c>
      <c r="J93" s="5">
        <f t="shared" si="11"/>
        <v>5</v>
      </c>
      <c r="K93" s="5">
        <v>1</v>
      </c>
      <c r="L93" s="5">
        <v>4</v>
      </c>
      <c r="M93" s="5">
        <v>0</v>
      </c>
      <c r="N93" s="48">
        <f t="shared" si="8"/>
        <v>399.6</v>
      </c>
      <c r="O93" s="48">
        <f t="shared" si="12"/>
        <v>99.9</v>
      </c>
      <c r="P93" s="48">
        <f t="shared" si="13"/>
        <v>499.5</v>
      </c>
      <c r="Q93" s="48">
        <f t="shared" si="14"/>
        <v>78.7</v>
      </c>
      <c r="R93" s="5" t="s">
        <v>682</v>
      </c>
      <c r="S93" s="5" t="s">
        <v>683</v>
      </c>
      <c r="V93" s="44">
        <f t="shared" si="15"/>
        <v>399.6</v>
      </c>
    </row>
    <row r="94" spans="1:24" x14ac:dyDescent="0.2">
      <c r="A94" s="53" t="s">
        <v>122</v>
      </c>
      <c r="B94" s="1" t="s">
        <v>123</v>
      </c>
      <c r="C94" s="5" t="s">
        <v>360</v>
      </c>
      <c r="G94" s="47">
        <f t="shared" si="9"/>
        <v>0</v>
      </c>
      <c r="H94" s="47">
        <v>55.9</v>
      </c>
      <c r="I94" s="16" t="str">
        <f t="shared" si="10"/>
        <v>SEM INFORMAÇÃO DE CUSTOS</v>
      </c>
      <c r="J94" s="5">
        <f t="shared" si="11"/>
        <v>2</v>
      </c>
      <c r="K94" s="5">
        <v>0</v>
      </c>
      <c r="L94" s="5">
        <v>2</v>
      </c>
      <c r="M94" s="5">
        <v>0</v>
      </c>
      <c r="N94" s="48">
        <f t="shared" si="8"/>
        <v>111.8</v>
      </c>
      <c r="O94" s="48">
        <f t="shared" si="12"/>
        <v>0</v>
      </c>
      <c r="P94" s="48">
        <f t="shared" si="13"/>
        <v>111.8</v>
      </c>
      <c r="Q94" s="48">
        <f t="shared" si="14"/>
        <v>0</v>
      </c>
      <c r="R94" s="5" t="s">
        <v>682</v>
      </c>
      <c r="S94" s="5" t="s">
        <v>683</v>
      </c>
      <c r="V94" s="44">
        <f t="shared" si="15"/>
        <v>111.8</v>
      </c>
    </row>
    <row r="95" spans="1:24" x14ac:dyDescent="0.2">
      <c r="A95" s="53">
        <v>12011746</v>
      </c>
      <c r="B95" s="1" t="s">
        <v>113</v>
      </c>
      <c r="C95" s="5" t="s">
        <v>360</v>
      </c>
      <c r="E95" s="47">
        <v>19.2</v>
      </c>
      <c r="F95" s="47">
        <v>8.39</v>
      </c>
      <c r="G95" s="47">
        <f t="shared" si="9"/>
        <v>27.59</v>
      </c>
      <c r="H95" s="47">
        <v>144.9</v>
      </c>
      <c r="I95" s="16">
        <f t="shared" si="10"/>
        <v>5.251902863356289</v>
      </c>
      <c r="J95" s="5">
        <f t="shared" si="11"/>
        <v>3</v>
      </c>
      <c r="K95" s="5">
        <v>0</v>
      </c>
      <c r="L95" s="5">
        <v>3</v>
      </c>
      <c r="M95" s="5">
        <v>0</v>
      </c>
      <c r="N95" s="48">
        <f t="shared" si="8"/>
        <v>434.70000000000005</v>
      </c>
      <c r="O95" s="48">
        <f t="shared" si="12"/>
        <v>0</v>
      </c>
      <c r="P95" s="48">
        <f t="shared" si="13"/>
        <v>434.70000000000005</v>
      </c>
      <c r="Q95" s="48">
        <f t="shared" si="14"/>
        <v>82.77</v>
      </c>
      <c r="R95" s="5" t="s">
        <v>682</v>
      </c>
      <c r="S95" s="5" t="s">
        <v>683</v>
      </c>
      <c r="V95" s="44">
        <f t="shared" si="15"/>
        <v>434.70000000000005</v>
      </c>
    </row>
    <row r="96" spans="1:24" x14ac:dyDescent="0.2">
      <c r="A96" s="53">
        <v>12011841</v>
      </c>
      <c r="B96" s="1" t="s">
        <v>124</v>
      </c>
      <c r="C96" s="5" t="s">
        <v>360</v>
      </c>
      <c r="E96" s="47">
        <v>13.4</v>
      </c>
      <c r="F96" s="47">
        <v>38.94</v>
      </c>
      <c r="G96" s="47">
        <f t="shared" si="9"/>
        <v>52.339999999999996</v>
      </c>
      <c r="H96" s="47">
        <v>229.9</v>
      </c>
      <c r="I96" s="16">
        <f t="shared" si="10"/>
        <v>4.3924340848299588</v>
      </c>
      <c r="J96" s="5">
        <f t="shared" si="11"/>
        <v>3</v>
      </c>
      <c r="K96" s="5">
        <v>1</v>
      </c>
      <c r="L96" s="5">
        <v>2</v>
      </c>
      <c r="M96" s="5">
        <v>0</v>
      </c>
      <c r="N96" s="48">
        <f t="shared" si="8"/>
        <v>459.8</v>
      </c>
      <c r="O96" s="48">
        <f t="shared" si="12"/>
        <v>229.9</v>
      </c>
      <c r="P96" s="48">
        <f t="shared" si="13"/>
        <v>689.7</v>
      </c>
      <c r="Q96" s="48">
        <f t="shared" si="14"/>
        <v>157.01999999999998</v>
      </c>
      <c r="R96" s="5" t="s">
        <v>682</v>
      </c>
      <c r="S96" s="5" t="s">
        <v>683</v>
      </c>
      <c r="V96" s="44">
        <f t="shared" si="15"/>
        <v>459.8</v>
      </c>
    </row>
    <row r="97" spans="1:22" x14ac:dyDescent="0.2">
      <c r="A97" s="53">
        <v>12012314</v>
      </c>
      <c r="B97" s="1" t="s">
        <v>822</v>
      </c>
      <c r="C97" s="5" t="s">
        <v>383</v>
      </c>
      <c r="E97" s="47">
        <v>0</v>
      </c>
      <c r="F97" s="47">
        <v>0</v>
      </c>
      <c r="G97" s="47">
        <f t="shared" si="9"/>
        <v>0</v>
      </c>
      <c r="H97" s="47">
        <v>159.9</v>
      </c>
      <c r="I97" s="16" t="str">
        <f t="shared" si="10"/>
        <v>SEM INFORMAÇÃO DE CUSTOS</v>
      </c>
      <c r="J97" s="5">
        <f t="shared" si="11"/>
        <v>0</v>
      </c>
      <c r="K97" s="5">
        <v>0</v>
      </c>
      <c r="L97" s="5">
        <v>0</v>
      </c>
      <c r="M97" s="5">
        <v>0</v>
      </c>
      <c r="N97" s="48">
        <f t="shared" si="8"/>
        <v>0</v>
      </c>
      <c r="O97" s="48">
        <f t="shared" si="12"/>
        <v>0</v>
      </c>
      <c r="P97" s="48">
        <f t="shared" si="13"/>
        <v>0</v>
      </c>
      <c r="Q97" s="48">
        <f t="shared" si="14"/>
        <v>0</v>
      </c>
      <c r="R97" s="5" t="s">
        <v>682</v>
      </c>
      <c r="S97" s="5" t="s">
        <v>683</v>
      </c>
      <c r="V97" s="44">
        <v>0</v>
      </c>
    </row>
    <row r="98" spans="1:22" x14ac:dyDescent="0.2">
      <c r="A98" s="53" t="s">
        <v>125</v>
      </c>
      <c r="B98" s="1" t="s">
        <v>126</v>
      </c>
      <c r="C98" s="5" t="s">
        <v>360</v>
      </c>
      <c r="G98" s="47">
        <f t="shared" si="9"/>
        <v>0</v>
      </c>
      <c r="H98" s="47">
        <v>114.9</v>
      </c>
      <c r="I98" s="16" t="str">
        <f t="shared" si="10"/>
        <v>SEM INFORMAÇÃO DE CUSTOS</v>
      </c>
      <c r="J98" s="5">
        <f t="shared" si="11"/>
        <v>1</v>
      </c>
      <c r="K98" s="5">
        <v>0</v>
      </c>
      <c r="L98" s="5">
        <v>1</v>
      </c>
      <c r="M98" s="5">
        <v>0</v>
      </c>
      <c r="N98" s="48">
        <f t="shared" si="8"/>
        <v>114.9</v>
      </c>
      <c r="O98" s="48">
        <f t="shared" si="12"/>
        <v>0</v>
      </c>
      <c r="P98" s="48">
        <f t="shared" si="13"/>
        <v>114.9</v>
      </c>
      <c r="Q98" s="48">
        <f t="shared" si="14"/>
        <v>0</v>
      </c>
      <c r="R98" s="5" t="s">
        <v>682</v>
      </c>
      <c r="S98" s="5" t="s">
        <v>683</v>
      </c>
      <c r="V98" s="44">
        <f t="shared" si="15"/>
        <v>114.9</v>
      </c>
    </row>
    <row r="99" spans="1:22" x14ac:dyDescent="0.2">
      <c r="A99" s="53">
        <v>12012358</v>
      </c>
      <c r="B99" s="1" t="s">
        <v>127</v>
      </c>
      <c r="C99" s="5" t="s">
        <v>383</v>
      </c>
      <c r="G99" s="47">
        <f t="shared" si="9"/>
        <v>0</v>
      </c>
      <c r="H99" s="47">
        <v>95.9</v>
      </c>
      <c r="I99" s="16" t="str">
        <f t="shared" si="10"/>
        <v>SEM INFORMAÇÃO DE CUSTOS</v>
      </c>
      <c r="J99" s="5">
        <f t="shared" si="11"/>
        <v>0</v>
      </c>
      <c r="K99" s="5">
        <v>0</v>
      </c>
      <c r="L99" s="5">
        <v>0</v>
      </c>
      <c r="M99" s="5">
        <v>0</v>
      </c>
      <c r="N99" s="48">
        <f t="shared" si="8"/>
        <v>0</v>
      </c>
      <c r="O99" s="48">
        <f t="shared" si="12"/>
        <v>0</v>
      </c>
      <c r="P99" s="48">
        <f t="shared" si="13"/>
        <v>0</v>
      </c>
      <c r="Q99" s="48">
        <f t="shared" si="14"/>
        <v>0</v>
      </c>
      <c r="R99" s="5" t="s">
        <v>682</v>
      </c>
      <c r="S99" s="5" t="s">
        <v>683</v>
      </c>
      <c r="V99" s="44">
        <f t="shared" si="15"/>
        <v>0</v>
      </c>
    </row>
    <row r="100" spans="1:22" x14ac:dyDescent="0.2">
      <c r="A100" s="53" t="s">
        <v>128</v>
      </c>
      <c r="B100" s="1" t="s">
        <v>129</v>
      </c>
      <c r="C100" s="5" t="s">
        <v>360</v>
      </c>
      <c r="G100" s="47">
        <f t="shared" si="9"/>
        <v>0</v>
      </c>
      <c r="H100" s="47">
        <v>150.9</v>
      </c>
      <c r="I100" s="16" t="str">
        <f t="shared" si="10"/>
        <v>SEM INFORMAÇÃO DE CUSTOS</v>
      </c>
      <c r="J100" s="5">
        <f t="shared" si="11"/>
        <v>2</v>
      </c>
      <c r="K100" s="5">
        <v>0</v>
      </c>
      <c r="L100" s="5">
        <v>2</v>
      </c>
      <c r="M100" s="5">
        <v>0</v>
      </c>
      <c r="N100" s="48">
        <f t="shared" si="8"/>
        <v>301.8</v>
      </c>
      <c r="O100" s="48">
        <f t="shared" si="12"/>
        <v>0</v>
      </c>
      <c r="P100" s="48">
        <f t="shared" si="13"/>
        <v>301.8</v>
      </c>
      <c r="Q100" s="48">
        <f t="shared" si="14"/>
        <v>0</v>
      </c>
      <c r="R100" s="5" t="s">
        <v>682</v>
      </c>
      <c r="S100" s="5" t="s">
        <v>683</v>
      </c>
      <c r="V100" s="44">
        <f t="shared" si="15"/>
        <v>301.8</v>
      </c>
    </row>
    <row r="101" spans="1:22" x14ac:dyDescent="0.2">
      <c r="A101" s="53">
        <v>12012382</v>
      </c>
      <c r="B101" s="1" t="s">
        <v>113</v>
      </c>
      <c r="C101" s="5" t="s">
        <v>360</v>
      </c>
      <c r="E101" s="47">
        <v>8.6199999999999992</v>
      </c>
      <c r="F101" s="47">
        <v>11.55</v>
      </c>
      <c r="G101" s="47">
        <f t="shared" si="9"/>
        <v>20.170000000000002</v>
      </c>
      <c r="H101" s="47">
        <v>139.9</v>
      </c>
      <c r="I101" s="16">
        <f t="shared" si="10"/>
        <v>6.9360436291522056</v>
      </c>
      <c r="J101" s="5">
        <f t="shared" si="11"/>
        <v>3</v>
      </c>
      <c r="K101" s="5">
        <v>1</v>
      </c>
      <c r="L101" s="5">
        <v>2</v>
      </c>
      <c r="M101" s="5">
        <v>0</v>
      </c>
      <c r="N101" s="48">
        <f t="shared" si="8"/>
        <v>279.8</v>
      </c>
      <c r="O101" s="48">
        <f t="shared" si="12"/>
        <v>139.9</v>
      </c>
      <c r="P101" s="48">
        <f t="shared" si="13"/>
        <v>419.70000000000005</v>
      </c>
      <c r="Q101" s="48">
        <f t="shared" si="14"/>
        <v>60.510000000000005</v>
      </c>
      <c r="R101" s="5" t="s">
        <v>682</v>
      </c>
      <c r="S101" s="5" t="s">
        <v>683</v>
      </c>
      <c r="V101" s="44">
        <f t="shared" si="15"/>
        <v>279.8</v>
      </c>
    </row>
    <row r="102" spans="1:22" x14ac:dyDescent="0.2">
      <c r="A102" s="53">
        <v>15000222</v>
      </c>
      <c r="B102" s="1" t="s">
        <v>130</v>
      </c>
      <c r="C102" s="5" t="s">
        <v>144</v>
      </c>
      <c r="G102" s="47">
        <f t="shared" si="9"/>
        <v>0</v>
      </c>
      <c r="H102" s="47">
        <v>139.9</v>
      </c>
      <c r="I102" s="16" t="str">
        <f t="shared" si="10"/>
        <v>SEM INFORMAÇÃO DE CUSTOS</v>
      </c>
      <c r="J102" s="5">
        <f t="shared" si="11"/>
        <v>0</v>
      </c>
      <c r="K102" s="5">
        <v>0</v>
      </c>
      <c r="L102" s="5">
        <v>0</v>
      </c>
      <c r="M102" s="5">
        <v>0</v>
      </c>
      <c r="N102" s="48">
        <f t="shared" si="8"/>
        <v>0</v>
      </c>
      <c r="O102" s="48">
        <f t="shared" si="12"/>
        <v>0</v>
      </c>
      <c r="P102" s="48">
        <f t="shared" si="13"/>
        <v>0</v>
      </c>
      <c r="Q102" s="48">
        <f t="shared" si="14"/>
        <v>0</v>
      </c>
      <c r="R102" s="5" t="s">
        <v>682</v>
      </c>
      <c r="S102" s="5" t="s">
        <v>683</v>
      </c>
      <c r="V102" s="44">
        <f t="shared" si="15"/>
        <v>0</v>
      </c>
    </row>
    <row r="103" spans="1:22" x14ac:dyDescent="0.2">
      <c r="A103" s="53">
        <v>15000276</v>
      </c>
      <c r="B103" s="1" t="s">
        <v>131</v>
      </c>
      <c r="C103" s="5" t="s">
        <v>144</v>
      </c>
      <c r="G103" s="47">
        <f t="shared" si="9"/>
        <v>0</v>
      </c>
      <c r="H103" s="47">
        <v>179.9</v>
      </c>
      <c r="I103" s="16" t="str">
        <f t="shared" si="10"/>
        <v>SEM INFORMAÇÃO DE CUSTOS</v>
      </c>
      <c r="J103" s="5">
        <f t="shared" si="11"/>
        <v>2</v>
      </c>
      <c r="K103" s="5">
        <v>1</v>
      </c>
      <c r="L103" s="5">
        <v>1</v>
      </c>
      <c r="M103" s="5">
        <v>0</v>
      </c>
      <c r="N103" s="48">
        <f t="shared" si="8"/>
        <v>179.9</v>
      </c>
      <c r="O103" s="48">
        <f t="shared" si="12"/>
        <v>179.9</v>
      </c>
      <c r="P103" s="48">
        <f t="shared" si="13"/>
        <v>359.8</v>
      </c>
      <c r="Q103" s="48">
        <f t="shared" si="14"/>
        <v>0</v>
      </c>
      <c r="R103" s="5" t="s">
        <v>682</v>
      </c>
      <c r="S103" s="5" t="s">
        <v>683</v>
      </c>
      <c r="V103" s="44">
        <f t="shared" si="15"/>
        <v>179.9</v>
      </c>
    </row>
    <row r="104" spans="1:22" x14ac:dyDescent="0.2">
      <c r="A104" s="53">
        <v>15000313</v>
      </c>
      <c r="B104" s="1" t="s">
        <v>132</v>
      </c>
      <c r="C104" s="5" t="s">
        <v>144</v>
      </c>
      <c r="G104" s="47">
        <f t="shared" si="9"/>
        <v>0</v>
      </c>
      <c r="H104" s="47">
        <v>119.9</v>
      </c>
      <c r="I104" s="16" t="str">
        <f t="shared" si="10"/>
        <v>SEM INFORMAÇÃO DE CUSTOS</v>
      </c>
      <c r="J104" s="5">
        <f t="shared" si="11"/>
        <v>2</v>
      </c>
      <c r="K104" s="5">
        <v>0</v>
      </c>
      <c r="L104" s="5">
        <v>2</v>
      </c>
      <c r="M104" s="5">
        <v>0</v>
      </c>
      <c r="N104" s="48">
        <f t="shared" si="8"/>
        <v>239.8</v>
      </c>
      <c r="O104" s="48">
        <f t="shared" si="12"/>
        <v>0</v>
      </c>
      <c r="P104" s="48">
        <f t="shared" si="13"/>
        <v>239.8</v>
      </c>
      <c r="Q104" s="48">
        <f t="shared" si="14"/>
        <v>0</v>
      </c>
      <c r="R104" s="5" t="s">
        <v>682</v>
      </c>
      <c r="S104" s="5" t="s">
        <v>683</v>
      </c>
      <c r="V104" s="44">
        <f t="shared" si="15"/>
        <v>239.8</v>
      </c>
    </row>
    <row r="105" spans="1:22" x14ac:dyDescent="0.2">
      <c r="A105" s="53">
        <v>15000364</v>
      </c>
      <c r="B105" s="1" t="s">
        <v>133</v>
      </c>
      <c r="C105" s="5" t="s">
        <v>144</v>
      </c>
      <c r="G105" s="47">
        <f t="shared" si="9"/>
        <v>0</v>
      </c>
      <c r="H105" s="47">
        <v>209.9</v>
      </c>
      <c r="I105" s="16" t="str">
        <f t="shared" si="10"/>
        <v>SEM INFORMAÇÃO DE CUSTOS</v>
      </c>
      <c r="J105" s="5">
        <f t="shared" si="11"/>
        <v>1</v>
      </c>
      <c r="K105" s="5">
        <v>0</v>
      </c>
      <c r="L105" s="5">
        <v>1</v>
      </c>
      <c r="M105" s="5">
        <v>0</v>
      </c>
      <c r="N105" s="48">
        <f t="shared" si="8"/>
        <v>209.9</v>
      </c>
      <c r="O105" s="48">
        <f t="shared" si="12"/>
        <v>0</v>
      </c>
      <c r="P105" s="48">
        <f t="shared" si="13"/>
        <v>209.9</v>
      </c>
      <c r="Q105" s="48">
        <f t="shared" si="14"/>
        <v>0</v>
      </c>
      <c r="R105" s="5" t="s">
        <v>682</v>
      </c>
      <c r="S105" s="5" t="s">
        <v>683</v>
      </c>
      <c r="V105" s="44">
        <f t="shared" si="15"/>
        <v>209.9</v>
      </c>
    </row>
    <row r="106" spans="1:22" x14ac:dyDescent="0.2">
      <c r="A106" s="53">
        <v>15000384</v>
      </c>
      <c r="B106" s="1" t="s">
        <v>134</v>
      </c>
      <c r="C106" s="5" t="s">
        <v>144</v>
      </c>
      <c r="G106" s="47">
        <f t="shared" si="9"/>
        <v>0</v>
      </c>
      <c r="H106" s="47">
        <v>149.9</v>
      </c>
      <c r="I106" s="16" t="str">
        <f t="shared" si="10"/>
        <v>SEM INFORMAÇÃO DE CUSTOS</v>
      </c>
      <c r="J106" s="5">
        <f t="shared" si="11"/>
        <v>1</v>
      </c>
      <c r="K106" s="5">
        <v>0</v>
      </c>
      <c r="L106" s="5">
        <v>1</v>
      </c>
      <c r="M106" s="5">
        <v>0</v>
      </c>
      <c r="N106" s="48">
        <f t="shared" si="8"/>
        <v>149.9</v>
      </c>
      <c r="O106" s="48">
        <f t="shared" si="12"/>
        <v>0</v>
      </c>
      <c r="P106" s="48">
        <f t="shared" si="13"/>
        <v>149.9</v>
      </c>
      <c r="Q106" s="48">
        <f t="shared" si="14"/>
        <v>0</v>
      </c>
      <c r="R106" s="5" t="s">
        <v>682</v>
      </c>
      <c r="S106" s="5" t="s">
        <v>683</v>
      </c>
      <c r="V106" s="44">
        <f t="shared" si="15"/>
        <v>149.9</v>
      </c>
    </row>
    <row r="107" spans="1:22" x14ac:dyDescent="0.2">
      <c r="A107" s="53">
        <v>15000425</v>
      </c>
      <c r="B107" s="1" t="s">
        <v>133</v>
      </c>
      <c r="C107" s="5" t="s">
        <v>144</v>
      </c>
      <c r="E107" s="47">
        <v>12.9</v>
      </c>
      <c r="F107" s="47">
        <v>32.69</v>
      </c>
      <c r="G107" s="47">
        <f t="shared" si="9"/>
        <v>45.589999999999996</v>
      </c>
      <c r="H107" s="47">
        <v>239.9</v>
      </c>
      <c r="I107" s="16">
        <f t="shared" si="10"/>
        <v>5.262118885720553</v>
      </c>
      <c r="J107" s="5">
        <f t="shared" si="11"/>
        <v>3</v>
      </c>
      <c r="K107" s="5">
        <v>0</v>
      </c>
      <c r="L107" s="5">
        <v>3</v>
      </c>
      <c r="M107" s="5">
        <v>0</v>
      </c>
      <c r="N107" s="48">
        <f t="shared" si="8"/>
        <v>719.7</v>
      </c>
      <c r="O107" s="48">
        <f t="shared" si="12"/>
        <v>0</v>
      </c>
      <c r="P107" s="48">
        <f t="shared" si="13"/>
        <v>719.7</v>
      </c>
      <c r="Q107" s="48">
        <f t="shared" si="14"/>
        <v>136.76999999999998</v>
      </c>
      <c r="R107" s="5" t="s">
        <v>682</v>
      </c>
      <c r="S107" s="5" t="s">
        <v>683</v>
      </c>
      <c r="V107" s="44">
        <f t="shared" si="15"/>
        <v>719.7</v>
      </c>
    </row>
    <row r="108" spans="1:22" x14ac:dyDescent="0.2">
      <c r="A108" s="53">
        <v>15000462</v>
      </c>
      <c r="B108" s="1" t="s">
        <v>135</v>
      </c>
      <c r="C108" s="5" t="s">
        <v>144</v>
      </c>
      <c r="G108" s="47">
        <f t="shared" si="9"/>
        <v>0</v>
      </c>
      <c r="H108" s="47">
        <v>199.9</v>
      </c>
      <c r="I108" s="16" t="str">
        <f t="shared" si="10"/>
        <v>SEM INFORMAÇÃO DE CUSTOS</v>
      </c>
      <c r="J108" s="5">
        <f t="shared" si="11"/>
        <v>0</v>
      </c>
      <c r="K108" s="5">
        <v>0</v>
      </c>
      <c r="L108" s="5">
        <v>0</v>
      </c>
      <c r="M108" s="5">
        <v>0</v>
      </c>
      <c r="N108" s="48">
        <f t="shared" si="8"/>
        <v>0</v>
      </c>
      <c r="O108" s="48">
        <f t="shared" si="12"/>
        <v>0</v>
      </c>
      <c r="P108" s="48">
        <f t="shared" si="13"/>
        <v>0</v>
      </c>
      <c r="Q108" s="48">
        <f t="shared" si="14"/>
        <v>0</v>
      </c>
      <c r="R108" s="5" t="s">
        <v>682</v>
      </c>
      <c r="S108" s="5" t="s">
        <v>683</v>
      </c>
      <c r="V108" s="44">
        <f t="shared" si="15"/>
        <v>0</v>
      </c>
    </row>
    <row r="109" spans="1:22" x14ac:dyDescent="0.2">
      <c r="A109" s="53">
        <v>15000465</v>
      </c>
      <c r="B109" s="1" t="s">
        <v>136</v>
      </c>
      <c r="C109" s="5" t="s">
        <v>144</v>
      </c>
      <c r="G109" s="47">
        <f t="shared" si="9"/>
        <v>0</v>
      </c>
      <c r="H109" s="47">
        <v>169.9</v>
      </c>
      <c r="I109" s="16" t="str">
        <f t="shared" si="10"/>
        <v>SEM INFORMAÇÃO DE CUSTOS</v>
      </c>
      <c r="J109" s="5">
        <f t="shared" si="11"/>
        <v>0</v>
      </c>
      <c r="K109" s="5">
        <v>0</v>
      </c>
      <c r="L109" s="5">
        <v>0</v>
      </c>
      <c r="M109" s="5">
        <v>0</v>
      </c>
      <c r="N109" s="48">
        <f t="shared" si="8"/>
        <v>0</v>
      </c>
      <c r="O109" s="48">
        <f t="shared" si="12"/>
        <v>0</v>
      </c>
      <c r="P109" s="48">
        <f t="shared" si="13"/>
        <v>0</v>
      </c>
      <c r="Q109" s="48">
        <f t="shared" si="14"/>
        <v>0</v>
      </c>
      <c r="R109" s="5" t="s">
        <v>682</v>
      </c>
      <c r="S109" s="5" t="s">
        <v>683</v>
      </c>
      <c r="V109" s="44">
        <f t="shared" si="15"/>
        <v>0</v>
      </c>
    </row>
    <row r="110" spans="1:22" x14ac:dyDescent="0.2">
      <c r="A110" s="53">
        <v>2012434</v>
      </c>
      <c r="B110" s="1" t="s">
        <v>821</v>
      </c>
      <c r="C110" s="5" t="s">
        <v>383</v>
      </c>
      <c r="E110" s="47">
        <v>0</v>
      </c>
      <c r="F110" s="47">
        <v>0</v>
      </c>
      <c r="G110" s="47">
        <f t="shared" si="9"/>
        <v>0</v>
      </c>
      <c r="H110" s="47">
        <v>79.900000000000006</v>
      </c>
      <c r="I110" s="16" t="str">
        <f t="shared" si="10"/>
        <v>SEM INFORMAÇÃO DE CUSTOS</v>
      </c>
      <c r="J110" s="5">
        <f t="shared" si="11"/>
        <v>0</v>
      </c>
      <c r="K110" s="5">
        <v>0</v>
      </c>
      <c r="L110" s="5">
        <v>0</v>
      </c>
      <c r="M110" s="5">
        <v>0</v>
      </c>
      <c r="N110" s="48">
        <f t="shared" si="8"/>
        <v>0</v>
      </c>
      <c r="O110" s="48">
        <f t="shared" si="12"/>
        <v>0</v>
      </c>
      <c r="P110" s="48">
        <f t="shared" si="13"/>
        <v>0</v>
      </c>
      <c r="Q110" s="48">
        <f t="shared" si="14"/>
        <v>0</v>
      </c>
      <c r="R110" s="5" t="s">
        <v>682</v>
      </c>
      <c r="S110" s="5" t="s">
        <v>683</v>
      </c>
      <c r="V110" s="44">
        <v>0</v>
      </c>
    </row>
    <row r="111" spans="1:22" x14ac:dyDescent="0.2">
      <c r="A111" s="53" t="s">
        <v>137</v>
      </c>
      <c r="B111" s="1" t="s">
        <v>138</v>
      </c>
      <c r="C111" s="5" t="s">
        <v>360</v>
      </c>
      <c r="G111" s="47">
        <f t="shared" si="9"/>
        <v>0</v>
      </c>
      <c r="H111" s="47">
        <v>134.9</v>
      </c>
      <c r="I111" s="16" t="str">
        <f t="shared" si="10"/>
        <v>SEM INFORMAÇÃO DE CUSTOS</v>
      </c>
      <c r="J111" s="5">
        <f t="shared" si="11"/>
        <v>1</v>
      </c>
      <c r="K111" s="5">
        <v>0</v>
      </c>
      <c r="L111" s="5">
        <v>1</v>
      </c>
      <c r="M111" s="5">
        <v>0</v>
      </c>
      <c r="N111" s="48">
        <f t="shared" si="8"/>
        <v>134.9</v>
      </c>
      <c r="O111" s="48">
        <f t="shared" si="12"/>
        <v>0</v>
      </c>
      <c r="P111" s="48">
        <f t="shared" si="13"/>
        <v>134.9</v>
      </c>
      <c r="Q111" s="48">
        <f t="shared" si="14"/>
        <v>0</v>
      </c>
      <c r="R111" s="5" t="s">
        <v>682</v>
      </c>
      <c r="S111" s="5" t="s">
        <v>683</v>
      </c>
      <c r="V111" s="44">
        <f t="shared" si="15"/>
        <v>134.9</v>
      </c>
    </row>
    <row r="112" spans="1:22" x14ac:dyDescent="0.2">
      <c r="A112" s="53">
        <v>2012904</v>
      </c>
      <c r="B112" s="1" t="s">
        <v>819</v>
      </c>
      <c r="C112" s="5" t="s">
        <v>383</v>
      </c>
      <c r="D112" s="5" t="s">
        <v>820</v>
      </c>
      <c r="E112" s="47">
        <v>0</v>
      </c>
      <c r="F112" s="47">
        <v>0</v>
      </c>
      <c r="G112" s="47">
        <f t="shared" si="9"/>
        <v>0</v>
      </c>
      <c r="H112" s="47">
        <v>129.9</v>
      </c>
      <c r="I112" s="16" t="str">
        <f t="shared" si="10"/>
        <v>SEM INFORMAÇÃO DE CUSTOS</v>
      </c>
      <c r="J112" s="5">
        <f t="shared" si="11"/>
        <v>0</v>
      </c>
      <c r="K112" s="5">
        <v>0</v>
      </c>
      <c r="L112" s="5">
        <v>0</v>
      </c>
      <c r="M112" s="5">
        <v>0</v>
      </c>
      <c r="N112" s="48">
        <f t="shared" si="8"/>
        <v>0</v>
      </c>
      <c r="O112" s="48">
        <f t="shared" si="12"/>
        <v>0</v>
      </c>
      <c r="P112" s="48">
        <f t="shared" si="13"/>
        <v>0</v>
      </c>
      <c r="Q112" s="48">
        <f t="shared" si="14"/>
        <v>0</v>
      </c>
      <c r="R112" s="5" t="s">
        <v>682</v>
      </c>
      <c r="S112" s="5" t="s">
        <v>683</v>
      </c>
      <c r="V112" s="44">
        <v>0</v>
      </c>
    </row>
    <row r="113" spans="1:22" x14ac:dyDescent="0.2">
      <c r="A113" s="53" t="s">
        <v>139</v>
      </c>
      <c r="B113" s="1" t="s">
        <v>140</v>
      </c>
      <c r="C113" s="5" t="s">
        <v>360</v>
      </c>
      <c r="G113" s="47">
        <f t="shared" si="9"/>
        <v>0</v>
      </c>
      <c r="H113" s="47">
        <v>184.9</v>
      </c>
      <c r="I113" s="16" t="str">
        <f t="shared" si="10"/>
        <v>SEM INFORMAÇÃO DE CUSTOS</v>
      </c>
      <c r="J113" s="5">
        <f t="shared" si="11"/>
        <v>2</v>
      </c>
      <c r="K113" s="5">
        <v>1</v>
      </c>
      <c r="L113" s="5">
        <v>1</v>
      </c>
      <c r="M113" s="5">
        <v>0</v>
      </c>
      <c r="N113" s="48">
        <f t="shared" si="8"/>
        <v>184.9</v>
      </c>
      <c r="O113" s="48">
        <f t="shared" si="12"/>
        <v>184.9</v>
      </c>
      <c r="P113" s="48">
        <f t="shared" si="13"/>
        <v>369.8</v>
      </c>
      <c r="Q113" s="48">
        <f t="shared" si="14"/>
        <v>0</v>
      </c>
      <c r="R113" s="5" t="s">
        <v>682</v>
      </c>
      <c r="S113" s="5" t="s">
        <v>683</v>
      </c>
      <c r="V113" s="44">
        <f t="shared" si="15"/>
        <v>184.9</v>
      </c>
    </row>
    <row r="114" spans="1:22" x14ac:dyDescent="0.2">
      <c r="A114" s="53">
        <v>2013148</v>
      </c>
      <c r="B114" s="1" t="s">
        <v>141</v>
      </c>
      <c r="C114" s="5" t="s">
        <v>383</v>
      </c>
      <c r="G114" s="47">
        <f t="shared" si="9"/>
        <v>0</v>
      </c>
      <c r="H114" s="47">
        <v>149.9</v>
      </c>
      <c r="I114" s="16" t="str">
        <f t="shared" si="10"/>
        <v>SEM INFORMAÇÃO DE CUSTOS</v>
      </c>
      <c r="J114" s="5">
        <f t="shared" si="11"/>
        <v>1</v>
      </c>
      <c r="K114" s="5">
        <v>0</v>
      </c>
      <c r="L114" s="5">
        <v>1</v>
      </c>
      <c r="M114" s="5">
        <v>0</v>
      </c>
      <c r="N114" s="48">
        <f t="shared" si="8"/>
        <v>149.9</v>
      </c>
      <c r="O114" s="48">
        <f t="shared" si="12"/>
        <v>0</v>
      </c>
      <c r="P114" s="48">
        <f t="shared" si="13"/>
        <v>149.9</v>
      </c>
      <c r="Q114" s="48">
        <f t="shared" si="14"/>
        <v>0</v>
      </c>
      <c r="R114" s="5" t="s">
        <v>682</v>
      </c>
      <c r="S114" s="5" t="s">
        <v>683</v>
      </c>
      <c r="V114" s="44">
        <f t="shared" si="15"/>
        <v>149.9</v>
      </c>
    </row>
    <row r="115" spans="1:22" x14ac:dyDescent="0.2">
      <c r="A115" s="53" t="s">
        <v>142</v>
      </c>
      <c r="B115" s="1" t="s">
        <v>143</v>
      </c>
      <c r="C115" s="5" t="s">
        <v>360</v>
      </c>
      <c r="G115" s="47">
        <f t="shared" si="9"/>
        <v>0</v>
      </c>
      <c r="H115" s="47">
        <v>204.9</v>
      </c>
      <c r="I115" s="16" t="str">
        <f t="shared" si="10"/>
        <v>SEM INFORMAÇÃO DE CUSTOS</v>
      </c>
      <c r="J115" s="5">
        <f t="shared" si="11"/>
        <v>0</v>
      </c>
      <c r="K115" s="5">
        <v>0</v>
      </c>
      <c r="L115" s="5">
        <v>0</v>
      </c>
      <c r="M115" s="5">
        <v>0</v>
      </c>
      <c r="N115" s="48">
        <f t="shared" si="8"/>
        <v>0</v>
      </c>
      <c r="O115" s="48">
        <f t="shared" si="12"/>
        <v>0</v>
      </c>
      <c r="P115" s="48">
        <f t="shared" si="13"/>
        <v>0</v>
      </c>
      <c r="Q115" s="48">
        <f t="shared" si="14"/>
        <v>0</v>
      </c>
      <c r="R115" s="5" t="s">
        <v>682</v>
      </c>
      <c r="S115" s="5" t="s">
        <v>683</v>
      </c>
      <c r="V115" s="44">
        <f t="shared" si="15"/>
        <v>0</v>
      </c>
    </row>
    <row r="116" spans="1:22" x14ac:dyDescent="0.2">
      <c r="A116" s="53">
        <v>3001789</v>
      </c>
      <c r="B116" s="1" t="s">
        <v>144</v>
      </c>
      <c r="C116" s="5" t="s">
        <v>144</v>
      </c>
      <c r="G116" s="47">
        <f t="shared" si="9"/>
        <v>0</v>
      </c>
      <c r="H116" s="47">
        <v>119.9</v>
      </c>
      <c r="I116" s="16" t="str">
        <f t="shared" si="10"/>
        <v>SEM INFORMAÇÃO DE CUSTOS</v>
      </c>
      <c r="J116" s="5">
        <f t="shared" si="11"/>
        <v>0</v>
      </c>
      <c r="K116" s="5">
        <v>0</v>
      </c>
      <c r="L116" s="5">
        <v>0</v>
      </c>
      <c r="M116" s="5">
        <v>0</v>
      </c>
      <c r="N116" s="48">
        <f t="shared" si="8"/>
        <v>0</v>
      </c>
      <c r="O116" s="48">
        <f t="shared" si="12"/>
        <v>0</v>
      </c>
      <c r="P116" s="48">
        <f t="shared" si="13"/>
        <v>0</v>
      </c>
      <c r="Q116" s="48">
        <f t="shared" si="14"/>
        <v>0</v>
      </c>
      <c r="R116" s="5" t="s">
        <v>682</v>
      </c>
      <c r="S116" s="5" t="s">
        <v>683</v>
      </c>
      <c r="V116" s="44">
        <f t="shared" si="15"/>
        <v>0</v>
      </c>
    </row>
    <row r="117" spans="1:22" x14ac:dyDescent="0.2">
      <c r="A117" s="53">
        <v>3002039</v>
      </c>
      <c r="B117" s="1" t="s">
        <v>145</v>
      </c>
      <c r="C117" s="5" t="s">
        <v>144</v>
      </c>
      <c r="G117" s="47">
        <f t="shared" si="9"/>
        <v>0</v>
      </c>
      <c r="H117" s="47">
        <v>114.9</v>
      </c>
      <c r="I117" s="16" t="str">
        <f t="shared" si="10"/>
        <v>SEM INFORMAÇÃO DE CUSTOS</v>
      </c>
      <c r="J117" s="5">
        <f t="shared" si="11"/>
        <v>1</v>
      </c>
      <c r="K117" s="5">
        <v>0</v>
      </c>
      <c r="L117" s="5">
        <v>1</v>
      </c>
      <c r="M117" s="5">
        <v>0</v>
      </c>
      <c r="N117" s="48">
        <f t="shared" si="8"/>
        <v>114.9</v>
      </c>
      <c r="O117" s="48">
        <f t="shared" si="12"/>
        <v>0</v>
      </c>
      <c r="P117" s="48">
        <f t="shared" si="13"/>
        <v>114.9</v>
      </c>
      <c r="Q117" s="48">
        <f t="shared" si="14"/>
        <v>0</v>
      </c>
      <c r="R117" s="5" t="s">
        <v>682</v>
      </c>
      <c r="S117" s="5" t="s">
        <v>683</v>
      </c>
      <c r="V117" s="44">
        <f t="shared" si="15"/>
        <v>114.9</v>
      </c>
    </row>
    <row r="118" spans="1:22" x14ac:dyDescent="0.2">
      <c r="A118" s="53">
        <v>3002043</v>
      </c>
      <c r="B118" s="1" t="s">
        <v>144</v>
      </c>
      <c r="C118" s="5" t="s">
        <v>144</v>
      </c>
      <c r="G118" s="47">
        <f t="shared" si="9"/>
        <v>0</v>
      </c>
      <c r="H118" s="47">
        <v>159.9</v>
      </c>
      <c r="I118" s="16" t="str">
        <f t="shared" si="10"/>
        <v>SEM INFORMAÇÃO DE CUSTOS</v>
      </c>
      <c r="J118" s="5">
        <f t="shared" si="11"/>
        <v>1</v>
      </c>
      <c r="K118" s="5">
        <v>0</v>
      </c>
      <c r="L118" s="5">
        <v>1</v>
      </c>
      <c r="M118" s="5">
        <v>0</v>
      </c>
      <c r="N118" s="48">
        <f t="shared" si="8"/>
        <v>159.9</v>
      </c>
      <c r="O118" s="48">
        <f t="shared" si="12"/>
        <v>0</v>
      </c>
      <c r="P118" s="48">
        <f t="shared" si="13"/>
        <v>159.9</v>
      </c>
      <c r="Q118" s="48">
        <f t="shared" si="14"/>
        <v>0</v>
      </c>
      <c r="R118" s="5" t="s">
        <v>682</v>
      </c>
      <c r="S118" s="5" t="s">
        <v>683</v>
      </c>
      <c r="V118" s="44">
        <f t="shared" si="15"/>
        <v>159.9</v>
      </c>
    </row>
    <row r="119" spans="1:22" x14ac:dyDescent="0.2">
      <c r="A119" s="53">
        <v>3002765</v>
      </c>
      <c r="B119" s="1" t="s">
        <v>144</v>
      </c>
      <c r="C119" s="5" t="s">
        <v>144</v>
      </c>
      <c r="G119" s="47">
        <f t="shared" si="9"/>
        <v>0</v>
      </c>
      <c r="H119" s="47">
        <v>219.9</v>
      </c>
      <c r="I119" s="16" t="str">
        <f t="shared" si="10"/>
        <v>SEM INFORMAÇÃO DE CUSTOS</v>
      </c>
      <c r="J119" s="5">
        <f t="shared" si="11"/>
        <v>0</v>
      </c>
      <c r="K119" s="5">
        <v>0</v>
      </c>
      <c r="L119" s="5">
        <v>0</v>
      </c>
      <c r="M119" s="5">
        <v>0</v>
      </c>
      <c r="N119" s="48">
        <f t="shared" si="8"/>
        <v>0</v>
      </c>
      <c r="O119" s="48">
        <f t="shared" si="12"/>
        <v>0</v>
      </c>
      <c r="P119" s="48">
        <f t="shared" si="13"/>
        <v>0</v>
      </c>
      <c r="Q119" s="48">
        <f t="shared" si="14"/>
        <v>0</v>
      </c>
      <c r="R119" s="5" t="s">
        <v>682</v>
      </c>
      <c r="S119" s="5" t="s">
        <v>683</v>
      </c>
      <c r="V119" s="44">
        <f t="shared" si="15"/>
        <v>0</v>
      </c>
    </row>
    <row r="120" spans="1:22" x14ac:dyDescent="0.2">
      <c r="A120" s="53">
        <v>3004500</v>
      </c>
      <c r="B120" s="1" t="s">
        <v>146</v>
      </c>
      <c r="C120" s="5" t="s">
        <v>144</v>
      </c>
      <c r="G120" s="47">
        <f t="shared" si="9"/>
        <v>0</v>
      </c>
      <c r="H120" s="47">
        <v>54.9</v>
      </c>
      <c r="I120" s="16" t="str">
        <f t="shared" si="10"/>
        <v>SEM INFORMAÇÃO DE CUSTOS</v>
      </c>
      <c r="J120" s="5">
        <f t="shared" si="11"/>
        <v>0</v>
      </c>
      <c r="K120" s="5">
        <v>0</v>
      </c>
      <c r="L120" s="5">
        <v>0</v>
      </c>
      <c r="M120" s="5">
        <v>0</v>
      </c>
      <c r="N120" s="48">
        <f t="shared" si="8"/>
        <v>0</v>
      </c>
      <c r="O120" s="48">
        <f t="shared" si="12"/>
        <v>0</v>
      </c>
      <c r="P120" s="48">
        <f t="shared" si="13"/>
        <v>0</v>
      </c>
      <c r="Q120" s="48">
        <f t="shared" si="14"/>
        <v>0</v>
      </c>
      <c r="R120" s="5" t="s">
        <v>682</v>
      </c>
      <c r="S120" s="5" t="s">
        <v>683</v>
      </c>
      <c r="V120" s="44">
        <f t="shared" si="15"/>
        <v>0</v>
      </c>
    </row>
    <row r="121" spans="1:22" x14ac:dyDescent="0.2">
      <c r="A121" s="53">
        <v>3010432</v>
      </c>
      <c r="B121" s="1" t="s">
        <v>144</v>
      </c>
      <c r="C121" s="5" t="s">
        <v>144</v>
      </c>
      <c r="G121" s="47">
        <f t="shared" si="9"/>
        <v>0</v>
      </c>
      <c r="H121" s="47">
        <v>74.900000000000006</v>
      </c>
      <c r="I121" s="16" t="str">
        <f t="shared" si="10"/>
        <v>SEM INFORMAÇÃO DE CUSTOS</v>
      </c>
      <c r="J121" s="5">
        <f t="shared" si="11"/>
        <v>0</v>
      </c>
      <c r="K121" s="5">
        <v>0</v>
      </c>
      <c r="L121" s="5">
        <v>0</v>
      </c>
      <c r="M121" s="5">
        <v>0</v>
      </c>
      <c r="N121" s="48">
        <f t="shared" si="8"/>
        <v>0</v>
      </c>
      <c r="O121" s="48">
        <f t="shared" si="12"/>
        <v>0</v>
      </c>
      <c r="P121" s="48">
        <f t="shared" si="13"/>
        <v>0</v>
      </c>
      <c r="Q121" s="48">
        <f t="shared" si="14"/>
        <v>0</v>
      </c>
      <c r="R121" s="5" t="s">
        <v>682</v>
      </c>
      <c r="S121" s="5" t="s">
        <v>683</v>
      </c>
      <c r="V121" s="44">
        <f t="shared" si="15"/>
        <v>0</v>
      </c>
    </row>
    <row r="122" spans="1:22" x14ac:dyDescent="0.2">
      <c r="A122" s="53">
        <v>3010770</v>
      </c>
      <c r="B122" s="1" t="s">
        <v>147</v>
      </c>
      <c r="C122" s="5" t="s">
        <v>144</v>
      </c>
      <c r="G122" s="47">
        <f t="shared" si="9"/>
        <v>0</v>
      </c>
      <c r="H122" s="47">
        <v>159.9</v>
      </c>
      <c r="I122" s="16" t="str">
        <f t="shared" si="10"/>
        <v>SEM INFORMAÇÃO DE CUSTOS</v>
      </c>
      <c r="J122" s="5">
        <f t="shared" si="11"/>
        <v>1</v>
      </c>
      <c r="K122" s="5">
        <v>0</v>
      </c>
      <c r="L122" s="5">
        <v>1</v>
      </c>
      <c r="M122" s="5">
        <v>0</v>
      </c>
      <c r="N122" s="48">
        <f t="shared" si="8"/>
        <v>159.9</v>
      </c>
      <c r="O122" s="48">
        <f t="shared" si="12"/>
        <v>0</v>
      </c>
      <c r="P122" s="48">
        <f t="shared" si="13"/>
        <v>159.9</v>
      </c>
      <c r="Q122" s="48">
        <f t="shared" si="14"/>
        <v>0</v>
      </c>
      <c r="R122" s="5" t="s">
        <v>682</v>
      </c>
      <c r="S122" s="5" t="s">
        <v>683</v>
      </c>
      <c r="V122" s="44">
        <f t="shared" si="15"/>
        <v>159.9</v>
      </c>
    </row>
    <row r="123" spans="1:22" x14ac:dyDescent="0.2">
      <c r="A123" s="53">
        <v>3013887</v>
      </c>
      <c r="B123" s="1" t="s">
        <v>148</v>
      </c>
      <c r="C123" s="5" t="s">
        <v>144</v>
      </c>
      <c r="G123" s="47">
        <f t="shared" si="9"/>
        <v>0</v>
      </c>
      <c r="H123" s="47">
        <v>129.9</v>
      </c>
      <c r="I123" s="16" t="str">
        <f t="shared" si="10"/>
        <v>SEM INFORMAÇÃO DE CUSTOS</v>
      </c>
      <c r="J123" s="5">
        <f t="shared" si="11"/>
        <v>2</v>
      </c>
      <c r="K123" s="5">
        <v>0</v>
      </c>
      <c r="L123" s="5">
        <v>2</v>
      </c>
      <c r="M123" s="5">
        <v>0</v>
      </c>
      <c r="N123" s="48">
        <f t="shared" si="8"/>
        <v>259.8</v>
      </c>
      <c r="O123" s="48">
        <f t="shared" si="12"/>
        <v>0</v>
      </c>
      <c r="P123" s="48">
        <f t="shared" si="13"/>
        <v>259.8</v>
      </c>
      <c r="Q123" s="48">
        <f t="shared" si="14"/>
        <v>0</v>
      </c>
      <c r="R123" s="5" t="s">
        <v>682</v>
      </c>
      <c r="S123" s="5" t="s">
        <v>683</v>
      </c>
      <c r="V123" s="44">
        <f t="shared" si="15"/>
        <v>259.8</v>
      </c>
    </row>
    <row r="124" spans="1:22" x14ac:dyDescent="0.2">
      <c r="A124" s="53">
        <v>3014102</v>
      </c>
      <c r="B124" s="1" t="s">
        <v>144</v>
      </c>
      <c r="C124" s="5" t="s">
        <v>144</v>
      </c>
      <c r="G124" s="47">
        <f t="shared" si="9"/>
        <v>0</v>
      </c>
      <c r="H124" s="47">
        <v>139.9</v>
      </c>
      <c r="I124" s="16" t="str">
        <f t="shared" si="10"/>
        <v>SEM INFORMAÇÃO DE CUSTOS</v>
      </c>
      <c r="J124" s="5">
        <f t="shared" si="11"/>
        <v>1</v>
      </c>
      <c r="K124" s="5">
        <v>0</v>
      </c>
      <c r="L124" s="5">
        <v>1</v>
      </c>
      <c r="M124" s="5">
        <v>0</v>
      </c>
      <c r="N124" s="48">
        <f t="shared" si="8"/>
        <v>139.9</v>
      </c>
      <c r="O124" s="48">
        <f t="shared" si="12"/>
        <v>0</v>
      </c>
      <c r="P124" s="48">
        <f t="shared" si="13"/>
        <v>139.9</v>
      </c>
      <c r="Q124" s="48">
        <f t="shared" si="14"/>
        <v>0</v>
      </c>
      <c r="R124" s="5" t="s">
        <v>682</v>
      </c>
      <c r="S124" s="5" t="s">
        <v>683</v>
      </c>
      <c r="V124" s="44">
        <f t="shared" si="15"/>
        <v>139.9</v>
      </c>
    </row>
    <row r="125" spans="1:22" x14ac:dyDescent="0.2">
      <c r="A125" s="53">
        <v>3014303</v>
      </c>
      <c r="B125" s="1" t="s">
        <v>149</v>
      </c>
      <c r="C125" s="5" t="s">
        <v>144</v>
      </c>
      <c r="G125" s="47">
        <f t="shared" si="9"/>
        <v>0</v>
      </c>
      <c r="H125" s="47">
        <v>219.9</v>
      </c>
      <c r="I125" s="16" t="str">
        <f t="shared" si="10"/>
        <v>SEM INFORMAÇÃO DE CUSTOS</v>
      </c>
      <c r="J125" s="5">
        <f t="shared" si="11"/>
        <v>1</v>
      </c>
      <c r="K125" s="5">
        <v>0</v>
      </c>
      <c r="L125" s="5">
        <v>1</v>
      </c>
      <c r="M125" s="5">
        <v>0</v>
      </c>
      <c r="N125" s="48">
        <f t="shared" si="8"/>
        <v>219.9</v>
      </c>
      <c r="O125" s="48">
        <f t="shared" si="12"/>
        <v>0</v>
      </c>
      <c r="P125" s="48">
        <f t="shared" si="13"/>
        <v>219.9</v>
      </c>
      <c r="Q125" s="48">
        <f t="shared" si="14"/>
        <v>0</v>
      </c>
      <c r="R125" s="5" t="s">
        <v>682</v>
      </c>
      <c r="S125" s="5" t="s">
        <v>683</v>
      </c>
      <c r="V125" s="44">
        <f t="shared" si="15"/>
        <v>219.9</v>
      </c>
    </row>
    <row r="126" spans="1:22" x14ac:dyDescent="0.2">
      <c r="A126" s="53">
        <v>3014366</v>
      </c>
      <c r="B126" s="1" t="s">
        <v>144</v>
      </c>
      <c r="C126" s="5" t="s">
        <v>144</v>
      </c>
      <c r="E126" s="47">
        <v>4.5</v>
      </c>
      <c r="F126" s="47">
        <v>15.74</v>
      </c>
      <c r="G126" s="47">
        <f t="shared" si="9"/>
        <v>20.240000000000002</v>
      </c>
      <c r="H126" s="47">
        <v>89.9</v>
      </c>
      <c r="I126" s="16">
        <f t="shared" si="10"/>
        <v>4.441699604743083</v>
      </c>
      <c r="J126" s="5">
        <f t="shared" si="11"/>
        <v>3</v>
      </c>
      <c r="K126" s="5">
        <v>0</v>
      </c>
      <c r="L126" s="5">
        <v>3</v>
      </c>
      <c r="M126" s="5">
        <v>0</v>
      </c>
      <c r="N126" s="48">
        <f t="shared" si="8"/>
        <v>269.70000000000005</v>
      </c>
      <c r="O126" s="48">
        <f t="shared" si="12"/>
        <v>0</v>
      </c>
      <c r="P126" s="48">
        <f t="shared" si="13"/>
        <v>269.70000000000005</v>
      </c>
      <c r="Q126" s="48">
        <f t="shared" si="14"/>
        <v>60.720000000000006</v>
      </c>
      <c r="R126" s="5" t="s">
        <v>682</v>
      </c>
      <c r="S126" s="5" t="s">
        <v>683</v>
      </c>
      <c r="V126" s="44">
        <f t="shared" si="15"/>
        <v>269.70000000000005</v>
      </c>
    </row>
    <row r="127" spans="1:22" x14ac:dyDescent="0.2">
      <c r="A127" s="53">
        <v>3014380</v>
      </c>
      <c r="B127" s="1" t="s">
        <v>144</v>
      </c>
      <c r="C127" s="5" t="s">
        <v>144</v>
      </c>
      <c r="G127" s="47">
        <f t="shared" si="9"/>
        <v>0</v>
      </c>
      <c r="H127" s="47">
        <v>78.900000000000006</v>
      </c>
      <c r="I127" s="16" t="str">
        <f t="shared" si="10"/>
        <v>SEM INFORMAÇÃO DE CUSTOS</v>
      </c>
      <c r="J127" s="5">
        <f t="shared" si="11"/>
        <v>0</v>
      </c>
      <c r="K127" s="5">
        <v>0</v>
      </c>
      <c r="L127" s="5">
        <v>0</v>
      </c>
      <c r="M127" s="5">
        <v>0</v>
      </c>
      <c r="N127" s="48">
        <f t="shared" si="8"/>
        <v>0</v>
      </c>
      <c r="O127" s="48">
        <f t="shared" si="12"/>
        <v>0</v>
      </c>
      <c r="P127" s="48">
        <f t="shared" si="13"/>
        <v>0</v>
      </c>
      <c r="Q127" s="48">
        <f t="shared" si="14"/>
        <v>0</v>
      </c>
      <c r="R127" s="5" t="s">
        <v>682</v>
      </c>
      <c r="S127" s="5" t="s">
        <v>683</v>
      </c>
      <c r="V127" s="44">
        <f t="shared" si="15"/>
        <v>0</v>
      </c>
    </row>
    <row r="128" spans="1:22" x14ac:dyDescent="0.2">
      <c r="A128" s="53">
        <v>3014447</v>
      </c>
      <c r="B128" s="1" t="s">
        <v>150</v>
      </c>
      <c r="C128" s="5" t="s">
        <v>144</v>
      </c>
      <c r="G128" s="47">
        <f t="shared" si="9"/>
        <v>0</v>
      </c>
      <c r="H128" s="47">
        <v>149.9</v>
      </c>
      <c r="I128" s="16" t="str">
        <f t="shared" si="10"/>
        <v>SEM INFORMAÇÃO DE CUSTOS</v>
      </c>
      <c r="J128" s="5">
        <f t="shared" si="11"/>
        <v>1</v>
      </c>
      <c r="K128" s="5">
        <v>0</v>
      </c>
      <c r="L128" s="5">
        <v>1</v>
      </c>
      <c r="M128" s="5">
        <v>0</v>
      </c>
      <c r="N128" s="48">
        <f t="shared" si="8"/>
        <v>149.9</v>
      </c>
      <c r="O128" s="48">
        <f t="shared" si="12"/>
        <v>0</v>
      </c>
      <c r="P128" s="48">
        <f t="shared" si="13"/>
        <v>149.9</v>
      </c>
      <c r="Q128" s="48">
        <f t="shared" si="14"/>
        <v>0</v>
      </c>
      <c r="R128" s="5" t="s">
        <v>682</v>
      </c>
      <c r="S128" s="5" t="s">
        <v>683</v>
      </c>
      <c r="V128" s="44">
        <f t="shared" si="15"/>
        <v>149.9</v>
      </c>
    </row>
    <row r="129" spans="1:22" x14ac:dyDescent="0.2">
      <c r="A129" s="53">
        <v>3014463</v>
      </c>
      <c r="B129" s="1" t="s">
        <v>151</v>
      </c>
      <c r="C129" s="5" t="s">
        <v>144</v>
      </c>
      <c r="G129" s="47">
        <f t="shared" si="9"/>
        <v>0</v>
      </c>
      <c r="H129" s="47">
        <v>149.9</v>
      </c>
      <c r="I129" s="16" t="str">
        <f t="shared" si="10"/>
        <v>SEM INFORMAÇÃO DE CUSTOS</v>
      </c>
      <c r="J129" s="5">
        <f t="shared" si="11"/>
        <v>2</v>
      </c>
      <c r="K129" s="5">
        <v>0</v>
      </c>
      <c r="L129" s="5">
        <v>2</v>
      </c>
      <c r="M129" s="5">
        <v>0</v>
      </c>
      <c r="N129" s="48">
        <f t="shared" si="8"/>
        <v>299.8</v>
      </c>
      <c r="O129" s="48">
        <f t="shared" si="12"/>
        <v>0</v>
      </c>
      <c r="P129" s="48">
        <f t="shared" si="13"/>
        <v>299.8</v>
      </c>
      <c r="Q129" s="48">
        <f t="shared" si="14"/>
        <v>0</v>
      </c>
      <c r="R129" s="5" t="s">
        <v>682</v>
      </c>
      <c r="S129" s="5" t="s">
        <v>683</v>
      </c>
      <c r="V129" s="44">
        <f t="shared" si="15"/>
        <v>299.8</v>
      </c>
    </row>
    <row r="130" spans="1:22" x14ac:dyDescent="0.2">
      <c r="A130" s="53">
        <v>3014590</v>
      </c>
      <c r="B130" s="1" t="s">
        <v>148</v>
      </c>
      <c r="C130" s="5" t="s">
        <v>144</v>
      </c>
      <c r="E130" s="47">
        <v>7.7</v>
      </c>
      <c r="F130" s="47">
        <v>9.58</v>
      </c>
      <c r="G130" s="47">
        <f t="shared" si="9"/>
        <v>17.28</v>
      </c>
      <c r="H130" s="47">
        <v>109.9</v>
      </c>
      <c r="I130" s="16">
        <f t="shared" si="10"/>
        <v>6.3599537037037033</v>
      </c>
      <c r="J130" s="5">
        <f t="shared" si="11"/>
        <v>3</v>
      </c>
      <c r="K130" s="5">
        <v>0</v>
      </c>
      <c r="L130" s="5">
        <v>3</v>
      </c>
      <c r="M130" s="5">
        <v>0</v>
      </c>
      <c r="N130" s="48">
        <f t="shared" ref="N130:N193" si="16">L130*H130</f>
        <v>329.70000000000005</v>
      </c>
      <c r="O130" s="48">
        <f t="shared" si="12"/>
        <v>0</v>
      </c>
      <c r="P130" s="48">
        <f t="shared" si="13"/>
        <v>329.70000000000005</v>
      </c>
      <c r="Q130" s="48">
        <f t="shared" si="14"/>
        <v>51.84</v>
      </c>
      <c r="R130" s="5" t="s">
        <v>682</v>
      </c>
      <c r="S130" s="5" t="s">
        <v>683</v>
      </c>
      <c r="V130" s="44">
        <f t="shared" si="15"/>
        <v>329.70000000000005</v>
      </c>
    </row>
    <row r="131" spans="1:22" x14ac:dyDescent="0.2">
      <c r="A131" s="53">
        <v>3014612</v>
      </c>
      <c r="B131" s="1" t="s">
        <v>144</v>
      </c>
      <c r="C131" s="5" t="s">
        <v>144</v>
      </c>
      <c r="G131" s="47">
        <f t="shared" ref="G131:G194" si="17">SUM(E131:F131)</f>
        <v>0</v>
      </c>
      <c r="H131" s="47">
        <v>169.9</v>
      </c>
      <c r="I131" s="16" t="str">
        <f t="shared" ref="I131:I194" si="18">IFERROR(H131/G131*100%,"SEM INFORMAÇÃO DE CUSTOS")</f>
        <v>SEM INFORMAÇÃO DE CUSTOS</v>
      </c>
      <c r="J131" s="5">
        <f t="shared" ref="J131:J194" si="19">K131+L131</f>
        <v>0</v>
      </c>
      <c r="K131" s="5">
        <v>0</v>
      </c>
      <c r="L131" s="5">
        <v>0</v>
      </c>
      <c r="M131" s="5">
        <v>0</v>
      </c>
      <c r="N131" s="48">
        <f t="shared" si="16"/>
        <v>0</v>
      </c>
      <c r="O131" s="48">
        <f t="shared" ref="O131:O194" si="20">K131*H131</f>
        <v>0</v>
      </c>
      <c r="P131" s="48">
        <f t="shared" ref="P131:P194" si="21">O131+N131</f>
        <v>0</v>
      </c>
      <c r="Q131" s="48">
        <f t="shared" ref="Q131:Q194" si="22">J131*G131</f>
        <v>0</v>
      </c>
      <c r="R131" s="5" t="s">
        <v>682</v>
      </c>
      <c r="S131" s="5" t="s">
        <v>683</v>
      </c>
      <c r="V131" s="44">
        <f t="shared" ref="V131:V194" si="23">L131*H131</f>
        <v>0</v>
      </c>
    </row>
    <row r="132" spans="1:22" x14ac:dyDescent="0.2">
      <c r="A132" s="53">
        <v>3014797</v>
      </c>
      <c r="B132" s="1" t="s">
        <v>152</v>
      </c>
      <c r="C132" s="5" t="s">
        <v>144</v>
      </c>
      <c r="E132" s="47">
        <v>39.9</v>
      </c>
      <c r="F132" s="47">
        <v>74.98</v>
      </c>
      <c r="G132" s="47">
        <f t="shared" si="17"/>
        <v>114.88</v>
      </c>
      <c r="H132" s="47">
        <v>495.9</v>
      </c>
      <c r="I132" s="16">
        <f t="shared" si="18"/>
        <v>4.3166782729805018</v>
      </c>
      <c r="J132" s="5">
        <f t="shared" si="19"/>
        <v>2</v>
      </c>
      <c r="K132" s="5">
        <v>0</v>
      </c>
      <c r="L132" s="5">
        <v>2</v>
      </c>
      <c r="M132" s="5">
        <v>0</v>
      </c>
      <c r="N132" s="48">
        <f t="shared" si="16"/>
        <v>991.8</v>
      </c>
      <c r="O132" s="48">
        <f t="shared" si="20"/>
        <v>0</v>
      </c>
      <c r="P132" s="48">
        <f t="shared" si="21"/>
        <v>991.8</v>
      </c>
      <c r="Q132" s="48">
        <f t="shared" si="22"/>
        <v>229.76</v>
      </c>
      <c r="R132" s="5" t="s">
        <v>682</v>
      </c>
      <c r="S132" s="5" t="s">
        <v>683</v>
      </c>
      <c r="V132" s="44">
        <f t="shared" si="23"/>
        <v>991.8</v>
      </c>
    </row>
    <row r="133" spans="1:22" x14ac:dyDescent="0.2">
      <c r="A133" s="53">
        <v>3014870</v>
      </c>
      <c r="B133" s="1" t="s">
        <v>153</v>
      </c>
      <c r="C133" s="5" t="s">
        <v>144</v>
      </c>
      <c r="E133" s="47">
        <v>4.3</v>
      </c>
      <c r="F133" s="47">
        <v>14.64</v>
      </c>
      <c r="G133" s="47">
        <f t="shared" si="17"/>
        <v>18.940000000000001</v>
      </c>
      <c r="H133" s="47">
        <v>139.9</v>
      </c>
      <c r="I133" s="16">
        <f t="shared" si="18"/>
        <v>7.3864836325237588</v>
      </c>
      <c r="J133" s="5">
        <f t="shared" si="19"/>
        <v>5</v>
      </c>
      <c r="K133" s="5">
        <v>0</v>
      </c>
      <c r="L133" s="5">
        <v>5</v>
      </c>
      <c r="M133" s="5">
        <v>0</v>
      </c>
      <c r="N133" s="48">
        <f t="shared" si="16"/>
        <v>699.5</v>
      </c>
      <c r="O133" s="48">
        <f t="shared" si="20"/>
        <v>0</v>
      </c>
      <c r="P133" s="48">
        <f t="shared" si="21"/>
        <v>699.5</v>
      </c>
      <c r="Q133" s="48">
        <f t="shared" si="22"/>
        <v>94.7</v>
      </c>
      <c r="R133" s="5" t="s">
        <v>682</v>
      </c>
      <c r="S133" s="5" t="s">
        <v>683</v>
      </c>
      <c r="V133" s="44">
        <f t="shared" si="23"/>
        <v>699.5</v>
      </c>
    </row>
    <row r="134" spans="1:22" x14ac:dyDescent="0.2">
      <c r="A134" s="53">
        <v>3014885</v>
      </c>
      <c r="B134" s="1" t="s">
        <v>144</v>
      </c>
      <c r="C134" s="5" t="s">
        <v>144</v>
      </c>
      <c r="G134" s="47">
        <f t="shared" si="17"/>
        <v>0</v>
      </c>
      <c r="H134" s="47">
        <v>67.900000000000006</v>
      </c>
      <c r="I134" s="16" t="str">
        <f t="shared" si="18"/>
        <v>SEM INFORMAÇÃO DE CUSTOS</v>
      </c>
      <c r="J134" s="5">
        <f t="shared" si="19"/>
        <v>2</v>
      </c>
      <c r="K134" s="5">
        <v>1</v>
      </c>
      <c r="L134" s="5">
        <v>1</v>
      </c>
      <c r="M134" s="5">
        <v>0</v>
      </c>
      <c r="N134" s="48">
        <f t="shared" si="16"/>
        <v>67.900000000000006</v>
      </c>
      <c r="O134" s="48">
        <f t="shared" si="20"/>
        <v>67.900000000000006</v>
      </c>
      <c r="P134" s="48">
        <f t="shared" si="21"/>
        <v>135.80000000000001</v>
      </c>
      <c r="Q134" s="48">
        <f t="shared" si="22"/>
        <v>0</v>
      </c>
      <c r="R134" s="5" t="s">
        <v>682</v>
      </c>
      <c r="S134" s="5" t="s">
        <v>683</v>
      </c>
      <c r="V134" s="44">
        <f t="shared" si="23"/>
        <v>67.900000000000006</v>
      </c>
    </row>
    <row r="135" spans="1:22" x14ac:dyDescent="0.2">
      <c r="A135" s="53">
        <v>3014911</v>
      </c>
      <c r="B135" s="1" t="s">
        <v>154</v>
      </c>
      <c r="C135" s="5" t="s">
        <v>144</v>
      </c>
      <c r="G135" s="47">
        <f t="shared" si="17"/>
        <v>0</v>
      </c>
      <c r="H135" s="47">
        <v>229.9</v>
      </c>
      <c r="I135" s="16" t="str">
        <f t="shared" si="18"/>
        <v>SEM INFORMAÇÃO DE CUSTOS</v>
      </c>
      <c r="J135" s="5">
        <f t="shared" si="19"/>
        <v>1</v>
      </c>
      <c r="K135" s="5">
        <v>0</v>
      </c>
      <c r="L135" s="5">
        <v>1</v>
      </c>
      <c r="M135" s="5">
        <v>0</v>
      </c>
      <c r="N135" s="48">
        <f t="shared" si="16"/>
        <v>229.9</v>
      </c>
      <c r="O135" s="48">
        <f t="shared" si="20"/>
        <v>0</v>
      </c>
      <c r="P135" s="48">
        <f t="shared" si="21"/>
        <v>229.9</v>
      </c>
      <c r="Q135" s="48">
        <f t="shared" si="22"/>
        <v>0</v>
      </c>
      <c r="R135" s="5" t="s">
        <v>682</v>
      </c>
      <c r="S135" s="5" t="s">
        <v>683</v>
      </c>
      <c r="V135" s="44">
        <f t="shared" si="23"/>
        <v>229.9</v>
      </c>
    </row>
    <row r="136" spans="1:22" x14ac:dyDescent="0.2">
      <c r="A136" s="53">
        <v>5000187</v>
      </c>
      <c r="B136" s="1" t="s">
        <v>155</v>
      </c>
      <c r="C136" s="5" t="s">
        <v>360</v>
      </c>
      <c r="E136" s="47">
        <v>30.28</v>
      </c>
      <c r="G136" s="47">
        <f t="shared" si="17"/>
        <v>30.28</v>
      </c>
      <c r="H136" s="47">
        <v>259.89999999999998</v>
      </c>
      <c r="I136" s="16">
        <f t="shared" si="18"/>
        <v>8.5832232496697483</v>
      </c>
      <c r="J136" s="5">
        <f t="shared" si="19"/>
        <v>4</v>
      </c>
      <c r="K136" s="5">
        <v>0</v>
      </c>
      <c r="L136" s="5">
        <v>4</v>
      </c>
      <c r="M136" s="5">
        <v>0</v>
      </c>
      <c r="N136" s="48">
        <f t="shared" si="16"/>
        <v>1039.5999999999999</v>
      </c>
      <c r="O136" s="48">
        <f t="shared" si="20"/>
        <v>0</v>
      </c>
      <c r="P136" s="48">
        <f t="shared" si="21"/>
        <v>1039.5999999999999</v>
      </c>
      <c r="Q136" s="48">
        <f t="shared" si="22"/>
        <v>121.12</v>
      </c>
      <c r="R136" s="5" t="s">
        <v>682</v>
      </c>
      <c r="S136" s="5" t="s">
        <v>683</v>
      </c>
      <c r="V136" s="44">
        <f t="shared" si="23"/>
        <v>1039.5999999999999</v>
      </c>
    </row>
    <row r="137" spans="1:22" x14ac:dyDescent="0.2">
      <c r="A137" s="53">
        <v>5000217</v>
      </c>
      <c r="B137" s="1" t="s">
        <v>156</v>
      </c>
      <c r="C137" s="5" t="s">
        <v>360</v>
      </c>
      <c r="G137" s="47">
        <f t="shared" si="17"/>
        <v>0</v>
      </c>
      <c r="H137" s="47">
        <v>179.9</v>
      </c>
      <c r="I137" s="16" t="str">
        <f t="shared" si="18"/>
        <v>SEM INFORMAÇÃO DE CUSTOS</v>
      </c>
      <c r="J137" s="5">
        <f t="shared" si="19"/>
        <v>1</v>
      </c>
      <c r="K137" s="5">
        <v>0</v>
      </c>
      <c r="L137" s="5">
        <v>1</v>
      </c>
      <c r="M137" s="5">
        <v>0</v>
      </c>
      <c r="N137" s="48">
        <f t="shared" si="16"/>
        <v>179.9</v>
      </c>
      <c r="O137" s="48">
        <f t="shared" si="20"/>
        <v>0</v>
      </c>
      <c r="P137" s="48">
        <f t="shared" si="21"/>
        <v>179.9</v>
      </c>
      <c r="Q137" s="48">
        <f t="shared" si="22"/>
        <v>0</v>
      </c>
      <c r="R137" s="5" t="s">
        <v>682</v>
      </c>
      <c r="S137" s="5" t="s">
        <v>683</v>
      </c>
      <c r="V137" s="44">
        <f t="shared" si="23"/>
        <v>179.9</v>
      </c>
    </row>
    <row r="138" spans="1:22" x14ac:dyDescent="0.2">
      <c r="A138" s="53">
        <v>5000528</v>
      </c>
      <c r="B138" s="1" t="s">
        <v>157</v>
      </c>
      <c r="C138" s="5" t="s">
        <v>360</v>
      </c>
      <c r="E138" s="47">
        <v>11.4</v>
      </c>
      <c r="F138" s="47">
        <v>71.37</v>
      </c>
      <c r="G138" s="47">
        <f t="shared" si="17"/>
        <v>82.77000000000001</v>
      </c>
      <c r="H138" s="47">
        <v>399.9</v>
      </c>
      <c r="I138" s="16">
        <f t="shared" si="18"/>
        <v>4.8314606741573023</v>
      </c>
      <c r="J138" s="5">
        <f t="shared" si="19"/>
        <v>4</v>
      </c>
      <c r="K138" s="5">
        <v>1</v>
      </c>
      <c r="L138" s="5">
        <v>3</v>
      </c>
      <c r="M138" s="5">
        <v>0</v>
      </c>
      <c r="N138" s="48">
        <f t="shared" si="16"/>
        <v>1199.6999999999998</v>
      </c>
      <c r="O138" s="48">
        <f t="shared" si="20"/>
        <v>399.9</v>
      </c>
      <c r="P138" s="48">
        <f t="shared" si="21"/>
        <v>1599.6</v>
      </c>
      <c r="Q138" s="48">
        <f t="shared" si="22"/>
        <v>331.08000000000004</v>
      </c>
      <c r="R138" s="5" t="s">
        <v>682</v>
      </c>
      <c r="S138" s="5" t="s">
        <v>683</v>
      </c>
      <c r="V138" s="44">
        <f t="shared" si="23"/>
        <v>1199.6999999999998</v>
      </c>
    </row>
    <row r="139" spans="1:22" x14ac:dyDescent="0.2">
      <c r="A139" s="53">
        <v>5002811</v>
      </c>
      <c r="B139" s="1" t="s">
        <v>158</v>
      </c>
      <c r="C139" s="5" t="s">
        <v>360</v>
      </c>
      <c r="E139" s="47">
        <v>6.1</v>
      </c>
      <c r="F139" s="47">
        <v>18.75</v>
      </c>
      <c r="G139" s="47">
        <f t="shared" si="17"/>
        <v>24.85</v>
      </c>
      <c r="H139" s="47">
        <v>179.9</v>
      </c>
      <c r="I139" s="16">
        <f t="shared" si="18"/>
        <v>7.23943661971831</v>
      </c>
      <c r="J139" s="5">
        <f t="shared" si="19"/>
        <v>2</v>
      </c>
      <c r="K139" s="5">
        <v>0</v>
      </c>
      <c r="L139" s="5">
        <v>2</v>
      </c>
      <c r="M139" s="5">
        <v>0</v>
      </c>
      <c r="N139" s="48">
        <f t="shared" si="16"/>
        <v>359.8</v>
      </c>
      <c r="O139" s="48">
        <f t="shared" si="20"/>
        <v>0</v>
      </c>
      <c r="P139" s="48">
        <f t="shared" si="21"/>
        <v>359.8</v>
      </c>
      <c r="Q139" s="48">
        <f t="shared" si="22"/>
        <v>49.7</v>
      </c>
      <c r="R139" s="5" t="s">
        <v>682</v>
      </c>
      <c r="S139" s="5" t="s">
        <v>683</v>
      </c>
      <c r="V139" s="44">
        <f t="shared" si="23"/>
        <v>359.8</v>
      </c>
    </row>
    <row r="140" spans="1:22" x14ac:dyDescent="0.2">
      <c r="A140" s="53">
        <v>5003642</v>
      </c>
      <c r="B140" s="1" t="s">
        <v>159</v>
      </c>
      <c r="C140" s="5" t="s">
        <v>360</v>
      </c>
      <c r="G140" s="47">
        <f t="shared" si="17"/>
        <v>0</v>
      </c>
      <c r="H140" s="47">
        <v>139.9</v>
      </c>
      <c r="I140" s="16" t="str">
        <f t="shared" si="18"/>
        <v>SEM INFORMAÇÃO DE CUSTOS</v>
      </c>
      <c r="J140" s="5">
        <f t="shared" si="19"/>
        <v>2</v>
      </c>
      <c r="K140" s="5">
        <v>0</v>
      </c>
      <c r="L140" s="5">
        <v>2</v>
      </c>
      <c r="M140" s="5">
        <v>0</v>
      </c>
      <c r="N140" s="48">
        <f t="shared" si="16"/>
        <v>279.8</v>
      </c>
      <c r="O140" s="48">
        <f t="shared" si="20"/>
        <v>0</v>
      </c>
      <c r="P140" s="48">
        <f t="shared" si="21"/>
        <v>279.8</v>
      </c>
      <c r="Q140" s="48">
        <f t="shared" si="22"/>
        <v>0</v>
      </c>
      <c r="R140" s="5" t="s">
        <v>682</v>
      </c>
      <c r="S140" s="5" t="s">
        <v>683</v>
      </c>
      <c r="V140" s="44">
        <f t="shared" si="23"/>
        <v>279.8</v>
      </c>
    </row>
    <row r="141" spans="1:22" x14ac:dyDescent="0.2">
      <c r="A141" s="53">
        <v>5003692</v>
      </c>
      <c r="B141" s="1" t="s">
        <v>160</v>
      </c>
      <c r="C141" s="5" t="s">
        <v>360</v>
      </c>
      <c r="G141" s="47">
        <f t="shared" si="17"/>
        <v>0</v>
      </c>
      <c r="H141" s="47">
        <v>74.900000000000006</v>
      </c>
      <c r="I141" s="16" t="str">
        <f t="shared" si="18"/>
        <v>SEM INFORMAÇÃO DE CUSTOS</v>
      </c>
      <c r="J141" s="5">
        <f t="shared" si="19"/>
        <v>2</v>
      </c>
      <c r="K141" s="5">
        <v>0</v>
      </c>
      <c r="L141" s="5">
        <v>2</v>
      </c>
      <c r="M141" s="5">
        <v>0</v>
      </c>
      <c r="N141" s="48">
        <f t="shared" si="16"/>
        <v>149.80000000000001</v>
      </c>
      <c r="O141" s="48">
        <f t="shared" si="20"/>
        <v>0</v>
      </c>
      <c r="P141" s="48">
        <f t="shared" si="21"/>
        <v>149.80000000000001</v>
      </c>
      <c r="Q141" s="48">
        <f t="shared" si="22"/>
        <v>0</v>
      </c>
      <c r="R141" s="5" t="s">
        <v>682</v>
      </c>
      <c r="S141" s="5" t="s">
        <v>683</v>
      </c>
      <c r="V141" s="44">
        <f t="shared" si="23"/>
        <v>149.80000000000001</v>
      </c>
    </row>
    <row r="142" spans="1:22" x14ac:dyDescent="0.2">
      <c r="A142" s="53">
        <v>5004144</v>
      </c>
      <c r="B142" s="1" t="s">
        <v>161</v>
      </c>
      <c r="C142" s="5" t="s">
        <v>360</v>
      </c>
      <c r="G142" s="47">
        <f t="shared" si="17"/>
        <v>0</v>
      </c>
      <c r="H142" s="47">
        <v>269.89999999999998</v>
      </c>
      <c r="I142" s="16" t="str">
        <f t="shared" si="18"/>
        <v>SEM INFORMAÇÃO DE CUSTOS</v>
      </c>
      <c r="J142" s="5">
        <f t="shared" si="19"/>
        <v>2</v>
      </c>
      <c r="K142" s="5">
        <v>0</v>
      </c>
      <c r="L142" s="5">
        <v>2</v>
      </c>
      <c r="M142" s="5">
        <v>0</v>
      </c>
      <c r="N142" s="48">
        <f t="shared" si="16"/>
        <v>539.79999999999995</v>
      </c>
      <c r="O142" s="48">
        <f t="shared" si="20"/>
        <v>0</v>
      </c>
      <c r="P142" s="48">
        <f t="shared" si="21"/>
        <v>539.79999999999995</v>
      </c>
      <c r="Q142" s="48">
        <f t="shared" si="22"/>
        <v>0</v>
      </c>
      <c r="R142" s="5" t="s">
        <v>682</v>
      </c>
      <c r="S142" s="5" t="s">
        <v>683</v>
      </c>
      <c r="V142" s="44">
        <f t="shared" si="23"/>
        <v>539.79999999999995</v>
      </c>
    </row>
    <row r="143" spans="1:22" x14ac:dyDescent="0.2">
      <c r="A143" s="53">
        <v>5004683</v>
      </c>
      <c r="B143" s="1" t="s">
        <v>162</v>
      </c>
      <c r="C143" s="5" t="s">
        <v>360</v>
      </c>
      <c r="G143" s="47">
        <f t="shared" si="17"/>
        <v>0</v>
      </c>
      <c r="H143" s="47">
        <v>269.89999999999998</v>
      </c>
      <c r="I143" s="16" t="str">
        <f t="shared" si="18"/>
        <v>SEM INFORMAÇÃO DE CUSTOS</v>
      </c>
      <c r="J143" s="5">
        <f t="shared" si="19"/>
        <v>2</v>
      </c>
      <c r="K143" s="5">
        <v>0</v>
      </c>
      <c r="L143" s="5">
        <v>2</v>
      </c>
      <c r="M143" s="5">
        <v>0</v>
      </c>
      <c r="N143" s="48">
        <f t="shared" si="16"/>
        <v>539.79999999999995</v>
      </c>
      <c r="O143" s="48">
        <f t="shared" si="20"/>
        <v>0</v>
      </c>
      <c r="P143" s="48">
        <f t="shared" si="21"/>
        <v>539.79999999999995</v>
      </c>
      <c r="Q143" s="48">
        <f t="shared" si="22"/>
        <v>0</v>
      </c>
      <c r="R143" s="5" t="s">
        <v>682</v>
      </c>
      <c r="S143" s="5" t="s">
        <v>683</v>
      </c>
      <c r="V143" s="44">
        <f t="shared" si="23"/>
        <v>539.79999999999995</v>
      </c>
    </row>
    <row r="144" spans="1:22" x14ac:dyDescent="0.2">
      <c r="A144" s="53">
        <v>5004897</v>
      </c>
      <c r="B144" s="1" t="s">
        <v>163</v>
      </c>
      <c r="C144" s="5" t="s">
        <v>360</v>
      </c>
      <c r="G144" s="47">
        <f t="shared" si="17"/>
        <v>0</v>
      </c>
      <c r="H144" s="47">
        <v>55</v>
      </c>
      <c r="I144" s="16" t="str">
        <f t="shared" si="18"/>
        <v>SEM INFORMAÇÃO DE CUSTOS</v>
      </c>
      <c r="J144" s="5">
        <f t="shared" si="19"/>
        <v>0</v>
      </c>
      <c r="K144" s="5">
        <v>0</v>
      </c>
      <c r="L144" s="5">
        <v>0</v>
      </c>
      <c r="M144" s="5">
        <v>0</v>
      </c>
      <c r="N144" s="48">
        <f t="shared" si="16"/>
        <v>0</v>
      </c>
      <c r="O144" s="48">
        <f t="shared" si="20"/>
        <v>0</v>
      </c>
      <c r="P144" s="48">
        <f t="shared" si="21"/>
        <v>0</v>
      </c>
      <c r="Q144" s="48">
        <f t="shared" si="22"/>
        <v>0</v>
      </c>
      <c r="R144" s="5" t="s">
        <v>682</v>
      </c>
      <c r="S144" s="5" t="s">
        <v>683</v>
      </c>
      <c r="V144" s="44">
        <f t="shared" si="23"/>
        <v>0</v>
      </c>
    </row>
    <row r="145" spans="1:22" x14ac:dyDescent="0.2">
      <c r="A145" s="53">
        <v>5005210</v>
      </c>
      <c r="B145" s="1" t="s">
        <v>164</v>
      </c>
      <c r="C145" s="5" t="s">
        <v>360</v>
      </c>
      <c r="E145" s="47">
        <v>7.7</v>
      </c>
      <c r="F145" s="47">
        <v>22.74</v>
      </c>
      <c r="G145" s="47">
        <f t="shared" si="17"/>
        <v>30.439999999999998</v>
      </c>
      <c r="H145" s="47">
        <v>179.9</v>
      </c>
      <c r="I145" s="16">
        <f t="shared" si="18"/>
        <v>5.9099868593955325</v>
      </c>
      <c r="J145" s="5">
        <f t="shared" si="19"/>
        <v>2</v>
      </c>
      <c r="K145" s="5">
        <v>0</v>
      </c>
      <c r="L145" s="5">
        <v>2</v>
      </c>
      <c r="M145" s="5">
        <v>0</v>
      </c>
      <c r="N145" s="48">
        <f t="shared" si="16"/>
        <v>359.8</v>
      </c>
      <c r="O145" s="48">
        <f t="shared" si="20"/>
        <v>0</v>
      </c>
      <c r="P145" s="48">
        <f t="shared" si="21"/>
        <v>359.8</v>
      </c>
      <c r="Q145" s="48">
        <f t="shared" si="22"/>
        <v>60.879999999999995</v>
      </c>
      <c r="R145" s="5" t="s">
        <v>682</v>
      </c>
      <c r="S145" s="5" t="s">
        <v>683</v>
      </c>
      <c r="V145" s="44">
        <f t="shared" si="23"/>
        <v>359.8</v>
      </c>
    </row>
    <row r="146" spans="1:22" x14ac:dyDescent="0.2">
      <c r="A146" s="53">
        <v>58002086</v>
      </c>
      <c r="B146" s="1" t="s">
        <v>165</v>
      </c>
      <c r="C146" s="5" t="s">
        <v>360</v>
      </c>
      <c r="G146" s="47">
        <f t="shared" si="17"/>
        <v>0</v>
      </c>
      <c r="H146" s="47">
        <v>119.9</v>
      </c>
      <c r="I146" s="16" t="str">
        <f t="shared" si="18"/>
        <v>SEM INFORMAÇÃO DE CUSTOS</v>
      </c>
      <c r="J146" s="5">
        <f t="shared" si="19"/>
        <v>1</v>
      </c>
      <c r="K146" s="5">
        <v>0</v>
      </c>
      <c r="L146" s="5">
        <v>1</v>
      </c>
      <c r="M146" s="5">
        <v>0</v>
      </c>
      <c r="N146" s="48">
        <f t="shared" si="16"/>
        <v>119.9</v>
      </c>
      <c r="O146" s="48">
        <f t="shared" si="20"/>
        <v>0</v>
      </c>
      <c r="P146" s="48">
        <f t="shared" si="21"/>
        <v>119.9</v>
      </c>
      <c r="Q146" s="48">
        <f t="shared" si="22"/>
        <v>0</v>
      </c>
      <c r="R146" s="5" t="s">
        <v>682</v>
      </c>
      <c r="S146" s="5" t="s">
        <v>683</v>
      </c>
      <c r="V146" s="44">
        <f t="shared" si="23"/>
        <v>119.9</v>
      </c>
    </row>
    <row r="147" spans="1:22" x14ac:dyDescent="0.2">
      <c r="A147" s="53" t="s">
        <v>166</v>
      </c>
      <c r="B147" s="1" t="s">
        <v>167</v>
      </c>
      <c r="C147" s="5" t="s">
        <v>49</v>
      </c>
      <c r="G147" s="47">
        <f t="shared" si="17"/>
        <v>0</v>
      </c>
      <c r="H147" s="47">
        <v>67.900000000000006</v>
      </c>
      <c r="I147" s="16" t="str">
        <f t="shared" si="18"/>
        <v>SEM INFORMAÇÃO DE CUSTOS</v>
      </c>
      <c r="J147" s="5">
        <f t="shared" si="19"/>
        <v>0</v>
      </c>
      <c r="K147" s="5">
        <v>0</v>
      </c>
      <c r="L147" s="5">
        <v>0</v>
      </c>
      <c r="M147" s="5">
        <v>0</v>
      </c>
      <c r="N147" s="48">
        <f t="shared" si="16"/>
        <v>0</v>
      </c>
      <c r="O147" s="48">
        <f t="shared" si="20"/>
        <v>0</v>
      </c>
      <c r="P147" s="48">
        <f t="shared" si="21"/>
        <v>0</v>
      </c>
      <c r="Q147" s="48">
        <f t="shared" si="22"/>
        <v>0</v>
      </c>
      <c r="R147" s="5" t="s">
        <v>682</v>
      </c>
      <c r="S147" s="5" t="s">
        <v>683</v>
      </c>
      <c r="V147" s="44">
        <f t="shared" si="23"/>
        <v>0</v>
      </c>
    </row>
    <row r="148" spans="1:22" x14ac:dyDescent="0.2">
      <c r="A148" s="53">
        <v>58002088</v>
      </c>
      <c r="B148" s="1" t="s">
        <v>168</v>
      </c>
      <c r="C148" s="5" t="s">
        <v>360</v>
      </c>
      <c r="G148" s="47">
        <f t="shared" si="17"/>
        <v>0</v>
      </c>
      <c r="H148" s="47">
        <v>119.9</v>
      </c>
      <c r="I148" s="16" t="str">
        <f t="shared" si="18"/>
        <v>SEM INFORMAÇÃO DE CUSTOS</v>
      </c>
      <c r="J148" s="5">
        <f t="shared" si="19"/>
        <v>1</v>
      </c>
      <c r="K148" s="5">
        <v>0</v>
      </c>
      <c r="L148" s="5">
        <v>1</v>
      </c>
      <c r="M148" s="5">
        <v>0</v>
      </c>
      <c r="N148" s="48">
        <f t="shared" si="16"/>
        <v>119.9</v>
      </c>
      <c r="O148" s="48">
        <f t="shared" si="20"/>
        <v>0</v>
      </c>
      <c r="P148" s="48">
        <f t="shared" si="21"/>
        <v>119.9</v>
      </c>
      <c r="Q148" s="48">
        <f t="shared" si="22"/>
        <v>0</v>
      </c>
      <c r="R148" s="5" t="s">
        <v>682</v>
      </c>
      <c r="S148" s="5" t="s">
        <v>683</v>
      </c>
      <c r="V148" s="44">
        <f t="shared" si="23"/>
        <v>119.9</v>
      </c>
    </row>
    <row r="149" spans="1:22" x14ac:dyDescent="0.2">
      <c r="A149" s="53" t="s">
        <v>169</v>
      </c>
      <c r="B149" s="1" t="s">
        <v>170</v>
      </c>
      <c r="C149" s="5" t="s">
        <v>49</v>
      </c>
      <c r="G149" s="47">
        <f t="shared" si="17"/>
        <v>0</v>
      </c>
      <c r="H149" s="47">
        <v>67.900000000000006</v>
      </c>
      <c r="I149" s="16" t="str">
        <f t="shared" si="18"/>
        <v>SEM INFORMAÇÃO DE CUSTOS</v>
      </c>
      <c r="J149" s="5">
        <f t="shared" si="19"/>
        <v>1</v>
      </c>
      <c r="K149" s="5">
        <v>0</v>
      </c>
      <c r="L149" s="5">
        <v>1</v>
      </c>
      <c r="M149" s="5">
        <v>0</v>
      </c>
      <c r="N149" s="48">
        <f t="shared" si="16"/>
        <v>67.900000000000006</v>
      </c>
      <c r="O149" s="48">
        <f t="shared" si="20"/>
        <v>0</v>
      </c>
      <c r="P149" s="48">
        <f t="shared" si="21"/>
        <v>67.900000000000006</v>
      </c>
      <c r="Q149" s="48">
        <f t="shared" si="22"/>
        <v>0</v>
      </c>
      <c r="R149" s="5" t="s">
        <v>682</v>
      </c>
      <c r="S149" s="5" t="s">
        <v>683</v>
      </c>
      <c r="V149" s="44">
        <f t="shared" si="23"/>
        <v>67.900000000000006</v>
      </c>
    </row>
    <row r="150" spans="1:22" x14ac:dyDescent="0.2">
      <c r="A150" s="53">
        <v>58002089</v>
      </c>
      <c r="B150" s="1" t="s">
        <v>171</v>
      </c>
      <c r="C150" s="5" t="s">
        <v>360</v>
      </c>
      <c r="G150" s="47">
        <f t="shared" si="17"/>
        <v>0</v>
      </c>
      <c r="H150" s="47">
        <v>119.9</v>
      </c>
      <c r="I150" s="16" t="str">
        <f t="shared" si="18"/>
        <v>SEM INFORMAÇÃO DE CUSTOS</v>
      </c>
      <c r="J150" s="5">
        <f t="shared" si="19"/>
        <v>0</v>
      </c>
      <c r="K150" s="5">
        <v>0</v>
      </c>
      <c r="L150" s="5">
        <v>0</v>
      </c>
      <c r="M150" s="5">
        <v>0</v>
      </c>
      <c r="N150" s="48">
        <f t="shared" si="16"/>
        <v>0</v>
      </c>
      <c r="O150" s="48">
        <f t="shared" si="20"/>
        <v>0</v>
      </c>
      <c r="P150" s="48">
        <f t="shared" si="21"/>
        <v>0</v>
      </c>
      <c r="Q150" s="48">
        <f t="shared" si="22"/>
        <v>0</v>
      </c>
      <c r="R150" s="5" t="s">
        <v>682</v>
      </c>
      <c r="S150" s="5" t="s">
        <v>683</v>
      </c>
      <c r="V150" s="44">
        <f t="shared" si="23"/>
        <v>0</v>
      </c>
    </row>
    <row r="151" spans="1:22" x14ac:dyDescent="0.2">
      <c r="A151" s="53" t="s">
        <v>172</v>
      </c>
      <c r="B151" s="1" t="s">
        <v>173</v>
      </c>
      <c r="C151" s="5" t="s">
        <v>49</v>
      </c>
      <c r="G151" s="47">
        <f t="shared" si="17"/>
        <v>0</v>
      </c>
      <c r="H151" s="47">
        <v>67.900000000000006</v>
      </c>
      <c r="I151" s="16" t="str">
        <f t="shared" si="18"/>
        <v>SEM INFORMAÇÃO DE CUSTOS</v>
      </c>
      <c r="J151" s="5">
        <f t="shared" si="19"/>
        <v>1</v>
      </c>
      <c r="K151" s="5">
        <v>0</v>
      </c>
      <c r="L151" s="5">
        <v>1</v>
      </c>
      <c r="M151" s="5">
        <v>0</v>
      </c>
      <c r="N151" s="48">
        <f t="shared" si="16"/>
        <v>67.900000000000006</v>
      </c>
      <c r="O151" s="48">
        <f t="shared" si="20"/>
        <v>0</v>
      </c>
      <c r="P151" s="48">
        <f t="shared" si="21"/>
        <v>67.900000000000006</v>
      </c>
      <c r="Q151" s="48">
        <f t="shared" si="22"/>
        <v>0</v>
      </c>
      <c r="R151" s="5" t="s">
        <v>682</v>
      </c>
      <c r="S151" s="5" t="s">
        <v>683</v>
      </c>
      <c r="V151" s="44">
        <f t="shared" si="23"/>
        <v>67.900000000000006</v>
      </c>
    </row>
    <row r="152" spans="1:22" x14ac:dyDescent="0.2">
      <c r="A152" s="53">
        <v>58002090</v>
      </c>
      <c r="B152" s="1" t="s">
        <v>174</v>
      </c>
      <c r="C152" s="5" t="s">
        <v>360</v>
      </c>
      <c r="G152" s="47">
        <f t="shared" si="17"/>
        <v>0</v>
      </c>
      <c r="H152" s="47">
        <v>119.9</v>
      </c>
      <c r="I152" s="16" t="str">
        <f t="shared" si="18"/>
        <v>SEM INFORMAÇÃO DE CUSTOS</v>
      </c>
      <c r="J152" s="5">
        <f t="shared" si="19"/>
        <v>0</v>
      </c>
      <c r="K152" s="5">
        <v>0</v>
      </c>
      <c r="L152" s="5">
        <v>0</v>
      </c>
      <c r="M152" s="5">
        <v>0</v>
      </c>
      <c r="N152" s="48">
        <f t="shared" si="16"/>
        <v>0</v>
      </c>
      <c r="O152" s="48">
        <f t="shared" si="20"/>
        <v>0</v>
      </c>
      <c r="P152" s="48">
        <f t="shared" si="21"/>
        <v>0</v>
      </c>
      <c r="Q152" s="48">
        <f t="shared" si="22"/>
        <v>0</v>
      </c>
      <c r="R152" s="5" t="s">
        <v>682</v>
      </c>
      <c r="S152" s="5" t="s">
        <v>683</v>
      </c>
      <c r="V152" s="44">
        <f t="shared" si="23"/>
        <v>0</v>
      </c>
    </row>
    <row r="153" spans="1:22" x14ac:dyDescent="0.2">
      <c r="A153" s="53" t="s">
        <v>175</v>
      </c>
      <c r="B153" s="1" t="s">
        <v>176</v>
      </c>
      <c r="C153" s="5" t="s">
        <v>49</v>
      </c>
      <c r="G153" s="47">
        <f t="shared" si="17"/>
        <v>0</v>
      </c>
      <c r="H153" s="47">
        <v>67.900000000000006</v>
      </c>
      <c r="I153" s="16" t="str">
        <f t="shared" si="18"/>
        <v>SEM INFORMAÇÃO DE CUSTOS</v>
      </c>
      <c r="J153" s="5">
        <f t="shared" si="19"/>
        <v>0</v>
      </c>
      <c r="K153" s="5">
        <v>0</v>
      </c>
      <c r="L153" s="5">
        <v>0</v>
      </c>
      <c r="M153" s="5">
        <v>0</v>
      </c>
      <c r="N153" s="48">
        <f t="shared" si="16"/>
        <v>0</v>
      </c>
      <c r="O153" s="48">
        <f t="shared" si="20"/>
        <v>0</v>
      </c>
      <c r="P153" s="48">
        <f t="shared" si="21"/>
        <v>0</v>
      </c>
      <c r="Q153" s="48">
        <f t="shared" si="22"/>
        <v>0</v>
      </c>
      <c r="R153" s="5" t="s">
        <v>682</v>
      </c>
      <c r="S153" s="5" t="s">
        <v>683</v>
      </c>
      <c r="V153" s="44">
        <f t="shared" si="23"/>
        <v>0</v>
      </c>
    </row>
    <row r="154" spans="1:22" x14ac:dyDescent="0.2">
      <c r="A154" s="53">
        <v>58002100</v>
      </c>
      <c r="B154" s="1" t="s">
        <v>177</v>
      </c>
      <c r="C154" s="5" t="s">
        <v>383</v>
      </c>
      <c r="G154" s="47">
        <f t="shared" si="17"/>
        <v>0</v>
      </c>
      <c r="H154" s="47">
        <v>88.9</v>
      </c>
      <c r="I154" s="16" t="str">
        <f t="shared" si="18"/>
        <v>SEM INFORMAÇÃO DE CUSTOS</v>
      </c>
      <c r="J154" s="5">
        <f t="shared" si="19"/>
        <v>0</v>
      </c>
      <c r="K154" s="5">
        <v>0</v>
      </c>
      <c r="L154" s="5">
        <v>0</v>
      </c>
      <c r="M154" s="5">
        <v>0</v>
      </c>
      <c r="N154" s="48">
        <f t="shared" si="16"/>
        <v>0</v>
      </c>
      <c r="O154" s="48">
        <f t="shared" si="20"/>
        <v>0</v>
      </c>
      <c r="P154" s="48">
        <f t="shared" si="21"/>
        <v>0</v>
      </c>
      <c r="Q154" s="48">
        <f t="shared" si="22"/>
        <v>0</v>
      </c>
      <c r="R154" s="5" t="s">
        <v>682</v>
      </c>
      <c r="S154" s="5" t="s">
        <v>683</v>
      </c>
      <c r="V154" s="44">
        <f t="shared" si="23"/>
        <v>0</v>
      </c>
    </row>
    <row r="155" spans="1:22" x14ac:dyDescent="0.2">
      <c r="A155" s="53" t="s">
        <v>178</v>
      </c>
      <c r="B155" s="1" t="s">
        <v>179</v>
      </c>
      <c r="C155" s="5" t="s">
        <v>49</v>
      </c>
      <c r="G155" s="47">
        <f t="shared" si="17"/>
        <v>0</v>
      </c>
      <c r="H155" s="47">
        <v>108.9</v>
      </c>
      <c r="I155" s="16" t="str">
        <f t="shared" si="18"/>
        <v>SEM INFORMAÇÃO DE CUSTOS</v>
      </c>
      <c r="J155" s="5">
        <f t="shared" si="19"/>
        <v>1</v>
      </c>
      <c r="K155" s="5">
        <v>0</v>
      </c>
      <c r="L155" s="5">
        <v>1</v>
      </c>
      <c r="M155" s="5">
        <v>0</v>
      </c>
      <c r="N155" s="48">
        <f t="shared" si="16"/>
        <v>108.9</v>
      </c>
      <c r="O155" s="48">
        <f t="shared" si="20"/>
        <v>0</v>
      </c>
      <c r="P155" s="48">
        <f t="shared" si="21"/>
        <v>108.9</v>
      </c>
      <c r="Q155" s="48">
        <f t="shared" si="22"/>
        <v>0</v>
      </c>
      <c r="R155" s="5" t="s">
        <v>682</v>
      </c>
      <c r="S155" s="5" t="s">
        <v>683</v>
      </c>
      <c r="V155" s="44">
        <f t="shared" si="23"/>
        <v>108.9</v>
      </c>
    </row>
    <row r="156" spans="1:22" x14ac:dyDescent="0.2">
      <c r="A156" s="53" t="s">
        <v>180</v>
      </c>
      <c r="B156" s="1" t="s">
        <v>181</v>
      </c>
      <c r="C156" s="5" t="s">
        <v>360</v>
      </c>
      <c r="G156" s="47">
        <f t="shared" si="17"/>
        <v>0</v>
      </c>
      <c r="H156" s="47">
        <v>143.9</v>
      </c>
      <c r="I156" s="16" t="str">
        <f t="shared" si="18"/>
        <v>SEM INFORMAÇÃO DE CUSTOS</v>
      </c>
      <c r="J156" s="5">
        <f t="shared" si="19"/>
        <v>0</v>
      </c>
      <c r="K156" s="5">
        <v>0</v>
      </c>
      <c r="L156" s="5">
        <v>0</v>
      </c>
      <c r="M156" s="5">
        <v>0</v>
      </c>
      <c r="N156" s="48">
        <f t="shared" si="16"/>
        <v>0</v>
      </c>
      <c r="O156" s="48">
        <f t="shared" si="20"/>
        <v>0</v>
      </c>
      <c r="P156" s="48">
        <f t="shared" si="21"/>
        <v>0</v>
      </c>
      <c r="Q156" s="48">
        <f t="shared" si="22"/>
        <v>0</v>
      </c>
      <c r="R156" s="5" t="s">
        <v>682</v>
      </c>
      <c r="S156" s="5" t="s">
        <v>683</v>
      </c>
      <c r="V156" s="44">
        <f t="shared" si="23"/>
        <v>0</v>
      </c>
    </row>
    <row r="157" spans="1:22" x14ac:dyDescent="0.2">
      <c r="A157" s="53" t="s">
        <v>182</v>
      </c>
      <c r="B157" s="1" t="s">
        <v>183</v>
      </c>
      <c r="C157" s="5" t="s">
        <v>49</v>
      </c>
      <c r="G157" s="47">
        <f t="shared" si="17"/>
        <v>0</v>
      </c>
      <c r="H157" s="47">
        <v>81.900000000000006</v>
      </c>
      <c r="I157" s="16" t="str">
        <f t="shared" si="18"/>
        <v>SEM INFORMAÇÃO DE CUSTOS</v>
      </c>
      <c r="J157" s="5">
        <f t="shared" si="19"/>
        <v>1</v>
      </c>
      <c r="K157" s="5">
        <v>0</v>
      </c>
      <c r="L157" s="5">
        <v>1</v>
      </c>
      <c r="M157" s="5">
        <v>0</v>
      </c>
      <c r="N157" s="48">
        <f t="shared" si="16"/>
        <v>81.900000000000006</v>
      </c>
      <c r="O157" s="48">
        <f t="shared" si="20"/>
        <v>0</v>
      </c>
      <c r="P157" s="48">
        <f t="shared" si="21"/>
        <v>81.900000000000006</v>
      </c>
      <c r="Q157" s="48">
        <f t="shared" si="22"/>
        <v>0</v>
      </c>
      <c r="R157" s="5" t="s">
        <v>682</v>
      </c>
      <c r="S157" s="5" t="s">
        <v>683</v>
      </c>
      <c r="V157" s="44">
        <f t="shared" si="23"/>
        <v>81.900000000000006</v>
      </c>
    </row>
    <row r="158" spans="1:22" x14ac:dyDescent="0.2">
      <c r="A158" s="53" t="s">
        <v>184</v>
      </c>
      <c r="B158" s="1" t="s">
        <v>185</v>
      </c>
      <c r="C158" s="5" t="s">
        <v>383</v>
      </c>
      <c r="G158" s="47">
        <f t="shared" si="17"/>
        <v>0</v>
      </c>
      <c r="H158" s="47">
        <v>89.9</v>
      </c>
      <c r="I158" s="16" t="str">
        <f t="shared" si="18"/>
        <v>SEM INFORMAÇÃO DE CUSTOS</v>
      </c>
      <c r="J158" s="5">
        <f t="shared" si="19"/>
        <v>0</v>
      </c>
      <c r="K158" s="5">
        <v>0</v>
      </c>
      <c r="L158" s="5">
        <v>0</v>
      </c>
      <c r="M158" s="5">
        <v>0</v>
      </c>
      <c r="N158" s="48">
        <f t="shared" si="16"/>
        <v>0</v>
      </c>
      <c r="O158" s="48">
        <f t="shared" si="20"/>
        <v>0</v>
      </c>
      <c r="P158" s="48">
        <f t="shared" si="21"/>
        <v>0</v>
      </c>
      <c r="Q158" s="48">
        <f t="shared" si="22"/>
        <v>0</v>
      </c>
      <c r="R158" s="5" t="s">
        <v>682</v>
      </c>
      <c r="S158" s="5" t="s">
        <v>683</v>
      </c>
      <c r="V158" s="44">
        <f t="shared" si="23"/>
        <v>0</v>
      </c>
    </row>
    <row r="159" spans="1:22" x14ac:dyDescent="0.2">
      <c r="A159" s="53" t="s">
        <v>186</v>
      </c>
      <c r="B159" s="1" t="s">
        <v>187</v>
      </c>
      <c r="C159" s="5" t="s">
        <v>360</v>
      </c>
      <c r="E159" s="47">
        <v>15.9</v>
      </c>
      <c r="F159" s="47">
        <v>12.75</v>
      </c>
      <c r="G159" s="47">
        <f t="shared" si="17"/>
        <v>28.65</v>
      </c>
      <c r="H159" s="47">
        <v>144.9</v>
      </c>
      <c r="I159" s="16">
        <f t="shared" si="18"/>
        <v>5.0575916230366493</v>
      </c>
      <c r="J159" s="5">
        <f t="shared" si="19"/>
        <v>1</v>
      </c>
      <c r="K159" s="5">
        <v>0</v>
      </c>
      <c r="L159" s="5">
        <v>1</v>
      </c>
      <c r="M159" s="5">
        <v>0</v>
      </c>
      <c r="N159" s="48">
        <f t="shared" si="16"/>
        <v>144.9</v>
      </c>
      <c r="O159" s="48">
        <f t="shared" si="20"/>
        <v>0</v>
      </c>
      <c r="P159" s="48">
        <f t="shared" si="21"/>
        <v>144.9</v>
      </c>
      <c r="Q159" s="48">
        <f t="shared" si="22"/>
        <v>28.65</v>
      </c>
      <c r="R159" s="5" t="s">
        <v>682</v>
      </c>
      <c r="S159" s="5" t="s">
        <v>683</v>
      </c>
      <c r="V159" s="44">
        <f t="shared" si="23"/>
        <v>144.9</v>
      </c>
    </row>
    <row r="160" spans="1:22" x14ac:dyDescent="0.2">
      <c r="A160" s="53">
        <v>58002116</v>
      </c>
      <c r="B160" s="1" t="s">
        <v>188</v>
      </c>
      <c r="C160" s="5" t="s">
        <v>360</v>
      </c>
      <c r="E160" s="47">
        <v>15.9</v>
      </c>
      <c r="F160" s="47">
        <v>13.57</v>
      </c>
      <c r="G160" s="47">
        <f t="shared" si="17"/>
        <v>29.47</v>
      </c>
      <c r="H160" s="47">
        <v>126.9</v>
      </c>
      <c r="I160" s="16">
        <f t="shared" si="18"/>
        <v>4.3060739735324063</v>
      </c>
      <c r="J160" s="5">
        <f t="shared" si="19"/>
        <v>1</v>
      </c>
      <c r="K160" s="5">
        <v>0</v>
      </c>
      <c r="L160" s="5">
        <v>1</v>
      </c>
      <c r="M160" s="5">
        <v>0</v>
      </c>
      <c r="N160" s="48">
        <f t="shared" si="16"/>
        <v>126.9</v>
      </c>
      <c r="O160" s="48">
        <f t="shared" si="20"/>
        <v>0</v>
      </c>
      <c r="P160" s="48">
        <f t="shared" si="21"/>
        <v>126.9</v>
      </c>
      <c r="Q160" s="48">
        <f t="shared" si="22"/>
        <v>29.47</v>
      </c>
      <c r="R160" s="5" t="s">
        <v>682</v>
      </c>
      <c r="S160" s="5" t="s">
        <v>683</v>
      </c>
      <c r="V160" s="44">
        <f t="shared" si="23"/>
        <v>126.9</v>
      </c>
    </row>
    <row r="161" spans="1:22" x14ac:dyDescent="0.2">
      <c r="A161" s="53" t="s">
        <v>189</v>
      </c>
      <c r="B161" s="1" t="s">
        <v>190</v>
      </c>
      <c r="C161" s="5" t="s">
        <v>49</v>
      </c>
      <c r="G161" s="47">
        <f t="shared" si="17"/>
        <v>0</v>
      </c>
      <c r="H161" s="47">
        <v>73.900000000000006</v>
      </c>
      <c r="I161" s="16" t="str">
        <f t="shared" si="18"/>
        <v>SEM INFORMAÇÃO DE CUSTOS</v>
      </c>
      <c r="J161" s="5">
        <f t="shared" si="19"/>
        <v>1</v>
      </c>
      <c r="K161" s="5">
        <v>0</v>
      </c>
      <c r="L161" s="5">
        <v>1</v>
      </c>
      <c r="M161" s="5">
        <v>0</v>
      </c>
      <c r="N161" s="48">
        <f t="shared" si="16"/>
        <v>73.900000000000006</v>
      </c>
      <c r="O161" s="48">
        <f t="shared" si="20"/>
        <v>0</v>
      </c>
      <c r="P161" s="48">
        <f t="shared" si="21"/>
        <v>73.900000000000006</v>
      </c>
      <c r="Q161" s="48">
        <f t="shared" si="22"/>
        <v>0</v>
      </c>
      <c r="R161" s="5" t="s">
        <v>682</v>
      </c>
      <c r="S161" s="5" t="s">
        <v>683</v>
      </c>
      <c r="V161" s="44">
        <f t="shared" si="23"/>
        <v>73.900000000000006</v>
      </c>
    </row>
    <row r="162" spans="1:22" x14ac:dyDescent="0.2">
      <c r="A162" s="53">
        <v>58002127</v>
      </c>
      <c r="B162" s="1" t="s">
        <v>191</v>
      </c>
      <c r="C162" s="5" t="s">
        <v>383</v>
      </c>
      <c r="G162" s="47">
        <f t="shared" si="17"/>
        <v>0</v>
      </c>
      <c r="H162" s="47">
        <v>79.900000000000006</v>
      </c>
      <c r="I162" s="16" t="str">
        <f t="shared" si="18"/>
        <v>SEM INFORMAÇÃO DE CUSTOS</v>
      </c>
      <c r="J162" s="5">
        <f t="shared" si="19"/>
        <v>0</v>
      </c>
      <c r="K162" s="5">
        <v>0</v>
      </c>
      <c r="L162" s="5">
        <v>0</v>
      </c>
      <c r="M162" s="5">
        <v>0</v>
      </c>
      <c r="N162" s="48">
        <f t="shared" si="16"/>
        <v>0</v>
      </c>
      <c r="O162" s="48">
        <f t="shared" si="20"/>
        <v>0</v>
      </c>
      <c r="P162" s="48">
        <f t="shared" si="21"/>
        <v>0</v>
      </c>
      <c r="Q162" s="48">
        <f t="shared" si="22"/>
        <v>0</v>
      </c>
      <c r="R162" s="5" t="s">
        <v>682</v>
      </c>
      <c r="S162" s="5" t="s">
        <v>683</v>
      </c>
      <c r="V162" s="44">
        <f t="shared" si="23"/>
        <v>0</v>
      </c>
    </row>
    <row r="163" spans="1:22" x14ac:dyDescent="0.2">
      <c r="A163" s="53" t="s">
        <v>192</v>
      </c>
      <c r="B163" s="1" t="s">
        <v>47</v>
      </c>
      <c r="C163" s="5" t="s">
        <v>49</v>
      </c>
      <c r="G163" s="47">
        <f t="shared" si="17"/>
        <v>0</v>
      </c>
      <c r="H163" s="47">
        <v>87.9</v>
      </c>
      <c r="I163" s="16" t="str">
        <f t="shared" si="18"/>
        <v>SEM INFORMAÇÃO DE CUSTOS</v>
      </c>
      <c r="J163" s="5">
        <f t="shared" si="19"/>
        <v>1</v>
      </c>
      <c r="K163" s="5">
        <v>1</v>
      </c>
      <c r="L163" s="5">
        <v>0</v>
      </c>
      <c r="M163" s="5">
        <v>0</v>
      </c>
      <c r="N163" s="48">
        <f t="shared" si="16"/>
        <v>0</v>
      </c>
      <c r="O163" s="48">
        <f t="shared" si="20"/>
        <v>87.9</v>
      </c>
      <c r="P163" s="48">
        <f t="shared" si="21"/>
        <v>87.9</v>
      </c>
      <c r="Q163" s="48">
        <f t="shared" si="22"/>
        <v>0</v>
      </c>
      <c r="R163" s="5" t="s">
        <v>682</v>
      </c>
      <c r="S163" s="5" t="s">
        <v>683</v>
      </c>
      <c r="V163" s="44">
        <f t="shared" si="23"/>
        <v>0</v>
      </c>
    </row>
    <row r="164" spans="1:22" x14ac:dyDescent="0.2">
      <c r="A164" s="53" t="s">
        <v>193</v>
      </c>
      <c r="B164" s="1" t="s">
        <v>194</v>
      </c>
      <c r="C164" s="5" t="s">
        <v>360</v>
      </c>
      <c r="G164" s="47">
        <f t="shared" si="17"/>
        <v>0</v>
      </c>
      <c r="H164" s="47">
        <v>134.9</v>
      </c>
      <c r="I164" s="16" t="str">
        <f t="shared" si="18"/>
        <v>SEM INFORMAÇÃO DE CUSTOS</v>
      </c>
      <c r="J164" s="5">
        <f t="shared" si="19"/>
        <v>0</v>
      </c>
      <c r="K164" s="5">
        <v>0</v>
      </c>
      <c r="L164" s="5">
        <v>0</v>
      </c>
      <c r="M164" s="5">
        <v>0</v>
      </c>
      <c r="N164" s="48">
        <f t="shared" si="16"/>
        <v>0</v>
      </c>
      <c r="O164" s="48">
        <f t="shared" si="20"/>
        <v>0</v>
      </c>
      <c r="P164" s="48">
        <f t="shared" si="21"/>
        <v>0</v>
      </c>
      <c r="Q164" s="48">
        <f t="shared" si="22"/>
        <v>0</v>
      </c>
      <c r="R164" s="5" t="s">
        <v>682</v>
      </c>
      <c r="S164" s="5" t="s">
        <v>683</v>
      </c>
      <c r="V164" s="44">
        <f t="shared" si="23"/>
        <v>0</v>
      </c>
    </row>
    <row r="165" spans="1:22" x14ac:dyDescent="0.2">
      <c r="A165" s="53">
        <v>62000243</v>
      </c>
      <c r="B165" s="1" t="s">
        <v>195</v>
      </c>
      <c r="C165" s="5" t="s">
        <v>360</v>
      </c>
      <c r="G165" s="47">
        <f t="shared" si="17"/>
        <v>0</v>
      </c>
      <c r="H165" s="47">
        <v>129.9</v>
      </c>
      <c r="I165" s="16" t="str">
        <f t="shared" si="18"/>
        <v>SEM INFORMAÇÃO DE CUSTOS</v>
      </c>
      <c r="J165" s="5">
        <f t="shared" si="19"/>
        <v>1</v>
      </c>
      <c r="K165" s="5">
        <v>0</v>
      </c>
      <c r="L165" s="5">
        <v>1</v>
      </c>
      <c r="M165" s="5">
        <v>0</v>
      </c>
      <c r="N165" s="48">
        <f t="shared" si="16"/>
        <v>129.9</v>
      </c>
      <c r="O165" s="48">
        <f t="shared" si="20"/>
        <v>0</v>
      </c>
      <c r="P165" s="48">
        <f t="shared" si="21"/>
        <v>129.9</v>
      </c>
      <c r="Q165" s="48">
        <f t="shared" si="22"/>
        <v>0</v>
      </c>
      <c r="R165" s="5" t="s">
        <v>682</v>
      </c>
      <c r="S165" s="5" t="s">
        <v>683</v>
      </c>
      <c r="V165" s="44">
        <f t="shared" si="23"/>
        <v>129.9</v>
      </c>
    </row>
    <row r="166" spans="1:22" x14ac:dyDescent="0.2">
      <c r="A166" s="53">
        <v>62000366</v>
      </c>
      <c r="B166" s="1" t="s">
        <v>195</v>
      </c>
      <c r="C166" s="5" t="s">
        <v>360</v>
      </c>
      <c r="G166" s="47">
        <f t="shared" si="17"/>
        <v>0</v>
      </c>
      <c r="H166" s="47">
        <v>159.9</v>
      </c>
      <c r="I166" s="16" t="str">
        <f t="shared" si="18"/>
        <v>SEM INFORMAÇÃO DE CUSTOS</v>
      </c>
      <c r="J166" s="5">
        <f t="shared" si="19"/>
        <v>0</v>
      </c>
      <c r="K166" s="5">
        <v>0</v>
      </c>
      <c r="L166" s="5">
        <v>0</v>
      </c>
      <c r="M166" s="5">
        <v>0</v>
      </c>
      <c r="N166" s="48">
        <f t="shared" si="16"/>
        <v>0</v>
      </c>
      <c r="O166" s="48">
        <f t="shared" si="20"/>
        <v>0</v>
      </c>
      <c r="P166" s="48">
        <f t="shared" si="21"/>
        <v>0</v>
      </c>
      <c r="Q166" s="48">
        <f t="shared" si="22"/>
        <v>0</v>
      </c>
      <c r="R166" s="5" t="s">
        <v>682</v>
      </c>
      <c r="S166" s="5" t="s">
        <v>683</v>
      </c>
      <c r="V166" s="44">
        <f t="shared" si="23"/>
        <v>0</v>
      </c>
    </row>
    <row r="167" spans="1:22" x14ac:dyDescent="0.2">
      <c r="A167" s="53">
        <v>62000493</v>
      </c>
      <c r="B167" s="1" t="s">
        <v>196</v>
      </c>
      <c r="C167" s="5" t="s">
        <v>360</v>
      </c>
      <c r="G167" s="47">
        <f t="shared" si="17"/>
        <v>0</v>
      </c>
      <c r="H167" s="47">
        <v>179.9</v>
      </c>
      <c r="I167" s="16" t="str">
        <f t="shared" si="18"/>
        <v>SEM INFORMAÇÃO DE CUSTOS</v>
      </c>
      <c r="J167" s="5">
        <f t="shared" si="19"/>
        <v>1</v>
      </c>
      <c r="K167" s="5">
        <v>1</v>
      </c>
      <c r="L167" s="5">
        <v>0</v>
      </c>
      <c r="M167" s="5">
        <v>0</v>
      </c>
      <c r="N167" s="48">
        <f t="shared" si="16"/>
        <v>0</v>
      </c>
      <c r="O167" s="48">
        <f t="shared" si="20"/>
        <v>179.9</v>
      </c>
      <c r="P167" s="48">
        <f t="shared" si="21"/>
        <v>179.9</v>
      </c>
      <c r="Q167" s="48">
        <f t="shared" si="22"/>
        <v>0</v>
      </c>
      <c r="R167" s="5" t="s">
        <v>682</v>
      </c>
      <c r="S167" s="5" t="s">
        <v>683</v>
      </c>
      <c r="V167" s="44">
        <f t="shared" si="23"/>
        <v>0</v>
      </c>
    </row>
    <row r="168" spans="1:22" x14ac:dyDescent="0.2">
      <c r="A168" s="53">
        <v>62000498</v>
      </c>
      <c r="B168" s="1" t="s">
        <v>197</v>
      </c>
      <c r="C168" s="5" t="s">
        <v>360</v>
      </c>
      <c r="G168" s="47">
        <f t="shared" si="17"/>
        <v>0</v>
      </c>
      <c r="H168" s="47">
        <v>129.9</v>
      </c>
      <c r="I168" s="16" t="str">
        <f t="shared" si="18"/>
        <v>SEM INFORMAÇÃO DE CUSTOS</v>
      </c>
      <c r="J168" s="5">
        <f t="shared" si="19"/>
        <v>0</v>
      </c>
      <c r="K168" s="5">
        <v>0</v>
      </c>
      <c r="L168" s="5">
        <v>0</v>
      </c>
      <c r="M168" s="5">
        <v>0</v>
      </c>
      <c r="N168" s="48">
        <f t="shared" si="16"/>
        <v>0</v>
      </c>
      <c r="O168" s="48">
        <f t="shared" si="20"/>
        <v>0</v>
      </c>
      <c r="P168" s="48">
        <f t="shared" si="21"/>
        <v>0</v>
      </c>
      <c r="Q168" s="48">
        <f t="shared" si="22"/>
        <v>0</v>
      </c>
      <c r="R168" s="5" t="s">
        <v>682</v>
      </c>
      <c r="S168" s="5" t="s">
        <v>683</v>
      </c>
      <c r="V168" s="44">
        <f t="shared" si="23"/>
        <v>0</v>
      </c>
    </row>
    <row r="169" spans="1:22" x14ac:dyDescent="0.2">
      <c r="A169" s="53">
        <v>65000376</v>
      </c>
      <c r="B169" s="1" t="s">
        <v>198</v>
      </c>
      <c r="C169" s="5" t="s">
        <v>44</v>
      </c>
      <c r="G169" s="47">
        <f t="shared" si="17"/>
        <v>0</v>
      </c>
      <c r="H169" s="47">
        <v>86.9</v>
      </c>
      <c r="I169" s="16" t="str">
        <f t="shared" si="18"/>
        <v>SEM INFORMAÇÃO DE CUSTOS</v>
      </c>
      <c r="J169" s="5">
        <f t="shared" si="19"/>
        <v>1</v>
      </c>
      <c r="K169" s="5">
        <v>0</v>
      </c>
      <c r="L169" s="5">
        <v>1</v>
      </c>
      <c r="M169" s="5">
        <v>0</v>
      </c>
      <c r="N169" s="48">
        <f t="shared" si="16"/>
        <v>86.9</v>
      </c>
      <c r="O169" s="48">
        <f t="shared" si="20"/>
        <v>0</v>
      </c>
      <c r="P169" s="48">
        <f t="shared" si="21"/>
        <v>86.9</v>
      </c>
      <c r="Q169" s="48">
        <f t="shared" si="22"/>
        <v>0</v>
      </c>
      <c r="R169" s="5" t="s">
        <v>682</v>
      </c>
      <c r="S169" s="5" t="s">
        <v>683</v>
      </c>
      <c r="V169" s="44">
        <f t="shared" si="23"/>
        <v>86.9</v>
      </c>
    </row>
    <row r="170" spans="1:22" x14ac:dyDescent="0.2">
      <c r="A170" s="53">
        <v>65000486</v>
      </c>
      <c r="B170" s="1" t="s">
        <v>44</v>
      </c>
      <c r="C170" s="5" t="s">
        <v>44</v>
      </c>
      <c r="G170" s="47">
        <f t="shared" si="17"/>
        <v>0</v>
      </c>
      <c r="H170" s="47">
        <v>62.9</v>
      </c>
      <c r="I170" s="16" t="str">
        <f t="shared" si="18"/>
        <v>SEM INFORMAÇÃO DE CUSTOS</v>
      </c>
      <c r="J170" s="5">
        <f t="shared" si="19"/>
        <v>1</v>
      </c>
      <c r="K170" s="5">
        <v>0</v>
      </c>
      <c r="L170" s="5">
        <v>1</v>
      </c>
      <c r="M170" s="5">
        <v>0</v>
      </c>
      <c r="N170" s="48">
        <f t="shared" si="16"/>
        <v>62.9</v>
      </c>
      <c r="O170" s="48">
        <f t="shared" si="20"/>
        <v>0</v>
      </c>
      <c r="P170" s="48">
        <f t="shared" si="21"/>
        <v>62.9</v>
      </c>
      <c r="Q170" s="48">
        <f t="shared" si="22"/>
        <v>0</v>
      </c>
      <c r="R170" s="5" t="s">
        <v>682</v>
      </c>
      <c r="S170" s="5" t="s">
        <v>683</v>
      </c>
      <c r="V170" s="44">
        <f t="shared" si="23"/>
        <v>62.9</v>
      </c>
    </row>
    <row r="171" spans="1:22" x14ac:dyDescent="0.2">
      <c r="A171" s="53">
        <v>8001092</v>
      </c>
      <c r="B171" s="1" t="s">
        <v>199</v>
      </c>
      <c r="C171" s="5" t="s">
        <v>360</v>
      </c>
      <c r="G171" s="47">
        <f t="shared" si="17"/>
        <v>0</v>
      </c>
      <c r="H171" s="47">
        <v>134.9</v>
      </c>
      <c r="I171" s="16" t="str">
        <f t="shared" si="18"/>
        <v>SEM INFORMAÇÃO DE CUSTOS</v>
      </c>
      <c r="J171" s="5">
        <f t="shared" si="19"/>
        <v>2</v>
      </c>
      <c r="K171" s="5">
        <v>0</v>
      </c>
      <c r="L171" s="5">
        <v>2</v>
      </c>
      <c r="M171" s="5">
        <v>0</v>
      </c>
      <c r="N171" s="48">
        <f t="shared" si="16"/>
        <v>269.8</v>
      </c>
      <c r="O171" s="48">
        <f t="shared" si="20"/>
        <v>0</v>
      </c>
      <c r="P171" s="48">
        <f t="shared" si="21"/>
        <v>269.8</v>
      </c>
      <c r="Q171" s="48">
        <f t="shared" si="22"/>
        <v>0</v>
      </c>
      <c r="R171" s="5" t="s">
        <v>682</v>
      </c>
      <c r="S171" s="5" t="s">
        <v>683</v>
      </c>
      <c r="V171" s="44">
        <f t="shared" si="23"/>
        <v>269.8</v>
      </c>
    </row>
    <row r="172" spans="1:22" x14ac:dyDescent="0.2">
      <c r="A172" s="53">
        <v>9006250</v>
      </c>
      <c r="B172" s="1" t="s">
        <v>200</v>
      </c>
      <c r="C172" s="5" t="s">
        <v>201</v>
      </c>
      <c r="E172" s="47">
        <v>11.95</v>
      </c>
      <c r="F172" s="47">
        <v>10.119999999999999</v>
      </c>
      <c r="G172" s="47">
        <f t="shared" si="17"/>
        <v>22.07</v>
      </c>
      <c r="H172" s="47">
        <v>149.9</v>
      </c>
      <c r="I172" s="16">
        <f t="shared" si="18"/>
        <v>6.7920253738106027</v>
      </c>
      <c r="J172" s="5">
        <f t="shared" si="19"/>
        <v>3</v>
      </c>
      <c r="K172" s="5">
        <v>0</v>
      </c>
      <c r="L172" s="5">
        <v>3</v>
      </c>
      <c r="M172" s="5">
        <v>0</v>
      </c>
      <c r="N172" s="48">
        <f t="shared" si="16"/>
        <v>449.70000000000005</v>
      </c>
      <c r="O172" s="48">
        <f t="shared" si="20"/>
        <v>0</v>
      </c>
      <c r="P172" s="48">
        <f t="shared" si="21"/>
        <v>449.70000000000005</v>
      </c>
      <c r="Q172" s="48">
        <f t="shared" si="22"/>
        <v>66.210000000000008</v>
      </c>
      <c r="R172" s="5" t="s">
        <v>682</v>
      </c>
      <c r="S172" s="5" t="s">
        <v>683</v>
      </c>
      <c r="V172" s="44">
        <f t="shared" si="23"/>
        <v>449.70000000000005</v>
      </c>
    </row>
    <row r="173" spans="1:22" x14ac:dyDescent="0.2">
      <c r="A173" s="53">
        <v>9007414</v>
      </c>
      <c r="B173" s="1" t="s">
        <v>201</v>
      </c>
      <c r="C173" s="5" t="s">
        <v>201</v>
      </c>
      <c r="E173" s="47">
        <v>10.3</v>
      </c>
      <c r="F173" s="47">
        <v>7.59</v>
      </c>
      <c r="G173" s="47">
        <f t="shared" si="17"/>
        <v>17.89</v>
      </c>
      <c r="H173" s="47">
        <v>99.9</v>
      </c>
      <c r="I173" s="16">
        <f t="shared" si="18"/>
        <v>5.5841252096143101</v>
      </c>
      <c r="J173" s="5">
        <f t="shared" si="19"/>
        <v>2</v>
      </c>
      <c r="K173" s="5">
        <v>0</v>
      </c>
      <c r="L173" s="5">
        <v>2</v>
      </c>
      <c r="M173" s="5">
        <v>0</v>
      </c>
      <c r="N173" s="48">
        <f t="shared" si="16"/>
        <v>199.8</v>
      </c>
      <c r="O173" s="48">
        <f t="shared" si="20"/>
        <v>0</v>
      </c>
      <c r="P173" s="48">
        <f t="shared" si="21"/>
        <v>199.8</v>
      </c>
      <c r="Q173" s="48">
        <f t="shared" si="22"/>
        <v>35.78</v>
      </c>
      <c r="R173" s="5" t="s">
        <v>682</v>
      </c>
      <c r="S173" s="5" t="s">
        <v>683</v>
      </c>
      <c r="V173" s="44">
        <f t="shared" si="23"/>
        <v>199.8</v>
      </c>
    </row>
    <row r="174" spans="1:22" x14ac:dyDescent="0.2">
      <c r="A174" s="53">
        <v>9009370</v>
      </c>
      <c r="B174" s="1" t="s">
        <v>201</v>
      </c>
      <c r="C174" s="5" t="s">
        <v>201</v>
      </c>
      <c r="E174" s="47">
        <v>9.85</v>
      </c>
      <c r="F174" s="47">
        <v>15.92</v>
      </c>
      <c r="G174" s="47">
        <f t="shared" si="17"/>
        <v>25.77</v>
      </c>
      <c r="H174" s="47">
        <v>89.9</v>
      </c>
      <c r="I174" s="16">
        <f t="shared" si="18"/>
        <v>3.4885525805199848</v>
      </c>
      <c r="J174" s="5">
        <f t="shared" si="19"/>
        <v>7</v>
      </c>
      <c r="K174" s="5">
        <v>0</v>
      </c>
      <c r="L174" s="5">
        <v>7</v>
      </c>
      <c r="M174" s="5">
        <v>0</v>
      </c>
      <c r="N174" s="48">
        <f t="shared" si="16"/>
        <v>629.30000000000007</v>
      </c>
      <c r="O174" s="48">
        <f t="shared" si="20"/>
        <v>0</v>
      </c>
      <c r="P174" s="48">
        <f t="shared" si="21"/>
        <v>629.30000000000007</v>
      </c>
      <c r="Q174" s="48">
        <f t="shared" si="22"/>
        <v>180.39</v>
      </c>
      <c r="R174" s="5" t="s">
        <v>682</v>
      </c>
      <c r="S174" s="5" t="s">
        <v>683</v>
      </c>
      <c r="V174" s="44">
        <f t="shared" si="23"/>
        <v>629.30000000000007</v>
      </c>
    </row>
    <row r="175" spans="1:22" x14ac:dyDescent="0.2">
      <c r="A175" s="53">
        <v>9009509</v>
      </c>
      <c r="B175" s="1" t="s">
        <v>201</v>
      </c>
      <c r="C175" s="5" t="s">
        <v>201</v>
      </c>
      <c r="E175" s="47">
        <v>12.1</v>
      </c>
      <c r="F175" s="47">
        <v>5.0599999999999996</v>
      </c>
      <c r="G175" s="47">
        <f t="shared" si="17"/>
        <v>17.16</v>
      </c>
      <c r="H175" s="47">
        <v>109.9</v>
      </c>
      <c r="I175" s="16">
        <f t="shared" si="18"/>
        <v>6.4044289044289044</v>
      </c>
      <c r="J175" s="5">
        <f t="shared" si="19"/>
        <v>3</v>
      </c>
      <c r="K175" s="5">
        <v>0</v>
      </c>
      <c r="L175" s="5">
        <v>3</v>
      </c>
      <c r="M175" s="5">
        <v>0</v>
      </c>
      <c r="N175" s="48">
        <f t="shared" si="16"/>
        <v>329.70000000000005</v>
      </c>
      <c r="O175" s="48">
        <f t="shared" si="20"/>
        <v>0</v>
      </c>
      <c r="P175" s="48">
        <f t="shared" si="21"/>
        <v>329.70000000000005</v>
      </c>
      <c r="Q175" s="48">
        <f t="shared" si="22"/>
        <v>51.480000000000004</v>
      </c>
      <c r="R175" s="5" t="s">
        <v>682</v>
      </c>
      <c r="S175" s="5" t="s">
        <v>683</v>
      </c>
      <c r="V175" s="44">
        <f t="shared" si="23"/>
        <v>329.70000000000005</v>
      </c>
    </row>
    <row r="176" spans="1:22" x14ac:dyDescent="0.2">
      <c r="A176" s="53">
        <v>9011266</v>
      </c>
      <c r="B176" s="1" t="s">
        <v>201</v>
      </c>
      <c r="C176" s="5" t="s">
        <v>201</v>
      </c>
      <c r="G176" s="47">
        <f t="shared" si="17"/>
        <v>0</v>
      </c>
      <c r="H176" s="47">
        <v>79.900000000000006</v>
      </c>
      <c r="I176" s="16" t="str">
        <f t="shared" si="18"/>
        <v>SEM INFORMAÇÃO DE CUSTOS</v>
      </c>
      <c r="J176" s="5">
        <f t="shared" si="19"/>
        <v>0</v>
      </c>
      <c r="K176" s="5">
        <v>0</v>
      </c>
      <c r="L176" s="5">
        <v>0</v>
      </c>
      <c r="M176" s="5">
        <v>0</v>
      </c>
      <c r="N176" s="48">
        <f t="shared" si="16"/>
        <v>0</v>
      </c>
      <c r="O176" s="48">
        <f t="shared" si="20"/>
        <v>0</v>
      </c>
      <c r="P176" s="48">
        <f t="shared" si="21"/>
        <v>0</v>
      </c>
      <c r="Q176" s="48">
        <f t="shared" si="22"/>
        <v>0</v>
      </c>
      <c r="R176" s="5" t="s">
        <v>682</v>
      </c>
      <c r="S176" s="5" t="s">
        <v>683</v>
      </c>
      <c r="V176" s="44">
        <f t="shared" si="23"/>
        <v>0</v>
      </c>
    </row>
    <row r="177" spans="1:22" x14ac:dyDescent="0.2">
      <c r="A177" s="53">
        <v>9011597</v>
      </c>
      <c r="B177" s="1" t="s">
        <v>201</v>
      </c>
      <c r="C177" s="5" t="s">
        <v>201</v>
      </c>
      <c r="E177" s="47">
        <v>5.5</v>
      </c>
      <c r="F177" s="47">
        <v>12.46</v>
      </c>
      <c r="G177" s="47">
        <f t="shared" si="17"/>
        <v>17.96</v>
      </c>
      <c r="H177" s="47">
        <v>129.9</v>
      </c>
      <c r="I177" s="16">
        <f t="shared" si="18"/>
        <v>7.2327394209354123</v>
      </c>
      <c r="J177" s="5">
        <f t="shared" si="19"/>
        <v>1</v>
      </c>
      <c r="K177" s="5">
        <v>0</v>
      </c>
      <c r="L177" s="5">
        <v>1</v>
      </c>
      <c r="M177" s="5">
        <v>0</v>
      </c>
      <c r="N177" s="48">
        <f t="shared" si="16"/>
        <v>129.9</v>
      </c>
      <c r="O177" s="48">
        <f t="shared" si="20"/>
        <v>0</v>
      </c>
      <c r="P177" s="48">
        <f t="shared" si="21"/>
        <v>129.9</v>
      </c>
      <c r="Q177" s="48">
        <f t="shared" si="22"/>
        <v>17.96</v>
      </c>
      <c r="R177" s="5" t="s">
        <v>682</v>
      </c>
      <c r="S177" s="5" t="s">
        <v>683</v>
      </c>
      <c r="V177" s="44">
        <f t="shared" si="23"/>
        <v>129.9</v>
      </c>
    </row>
    <row r="178" spans="1:22" x14ac:dyDescent="0.2">
      <c r="A178" s="53">
        <v>9011743</v>
      </c>
      <c r="B178" s="1" t="s">
        <v>202</v>
      </c>
      <c r="C178" s="5" t="s">
        <v>201</v>
      </c>
      <c r="G178" s="47">
        <f t="shared" si="17"/>
        <v>0</v>
      </c>
      <c r="H178" s="47">
        <v>94.9</v>
      </c>
      <c r="I178" s="16" t="str">
        <f t="shared" si="18"/>
        <v>SEM INFORMAÇÃO DE CUSTOS</v>
      </c>
      <c r="J178" s="5">
        <f t="shared" si="19"/>
        <v>1</v>
      </c>
      <c r="K178" s="5">
        <v>1</v>
      </c>
      <c r="L178" s="5">
        <v>0</v>
      </c>
      <c r="M178" s="5">
        <v>0</v>
      </c>
      <c r="N178" s="48">
        <f t="shared" si="16"/>
        <v>0</v>
      </c>
      <c r="O178" s="48">
        <f t="shared" si="20"/>
        <v>94.9</v>
      </c>
      <c r="P178" s="48">
        <f t="shared" si="21"/>
        <v>94.9</v>
      </c>
      <c r="Q178" s="48">
        <f t="shared" si="22"/>
        <v>0</v>
      </c>
      <c r="R178" s="5" t="s">
        <v>682</v>
      </c>
      <c r="S178" s="5" t="s">
        <v>683</v>
      </c>
      <c r="V178" s="44">
        <f t="shared" si="23"/>
        <v>0</v>
      </c>
    </row>
    <row r="179" spans="1:22" x14ac:dyDescent="0.2">
      <c r="A179" s="53">
        <v>9012111</v>
      </c>
      <c r="B179" s="1" t="s">
        <v>201</v>
      </c>
      <c r="C179" s="5" t="s">
        <v>201</v>
      </c>
      <c r="G179" s="47">
        <f t="shared" si="17"/>
        <v>0</v>
      </c>
      <c r="H179" s="47">
        <v>55.9</v>
      </c>
      <c r="I179" s="16" t="str">
        <f t="shared" si="18"/>
        <v>SEM INFORMAÇÃO DE CUSTOS</v>
      </c>
      <c r="J179" s="5">
        <f t="shared" si="19"/>
        <v>0</v>
      </c>
      <c r="K179" s="5">
        <v>0</v>
      </c>
      <c r="L179" s="5">
        <v>0</v>
      </c>
      <c r="M179" s="5">
        <v>0</v>
      </c>
      <c r="N179" s="48">
        <f t="shared" si="16"/>
        <v>0</v>
      </c>
      <c r="O179" s="48">
        <f t="shared" si="20"/>
        <v>0</v>
      </c>
      <c r="P179" s="48">
        <f t="shared" si="21"/>
        <v>0</v>
      </c>
      <c r="Q179" s="48">
        <f t="shared" si="22"/>
        <v>0</v>
      </c>
      <c r="R179" s="5" t="s">
        <v>682</v>
      </c>
      <c r="S179" s="5" t="s">
        <v>683</v>
      </c>
      <c r="V179" s="44">
        <f t="shared" si="23"/>
        <v>0</v>
      </c>
    </row>
    <row r="180" spans="1:22" x14ac:dyDescent="0.2">
      <c r="A180" s="53">
        <v>9012475</v>
      </c>
      <c r="B180" s="1" t="s">
        <v>203</v>
      </c>
      <c r="C180" s="5" t="s">
        <v>201</v>
      </c>
      <c r="G180" s="47">
        <f t="shared" si="17"/>
        <v>0</v>
      </c>
      <c r="H180" s="47">
        <v>149.9</v>
      </c>
      <c r="I180" s="16" t="str">
        <f t="shared" si="18"/>
        <v>SEM INFORMAÇÃO DE CUSTOS</v>
      </c>
      <c r="J180" s="5">
        <f t="shared" si="19"/>
        <v>2</v>
      </c>
      <c r="K180" s="5">
        <v>0</v>
      </c>
      <c r="L180" s="5">
        <v>2</v>
      </c>
      <c r="M180" s="5">
        <v>0</v>
      </c>
      <c r="N180" s="48">
        <f t="shared" si="16"/>
        <v>299.8</v>
      </c>
      <c r="O180" s="48">
        <f t="shared" si="20"/>
        <v>0</v>
      </c>
      <c r="P180" s="48">
        <f t="shared" si="21"/>
        <v>299.8</v>
      </c>
      <c r="Q180" s="48">
        <f t="shared" si="22"/>
        <v>0</v>
      </c>
      <c r="R180" s="5" t="s">
        <v>682</v>
      </c>
      <c r="S180" s="5" t="s">
        <v>683</v>
      </c>
      <c r="V180" s="44">
        <f t="shared" si="23"/>
        <v>299.8</v>
      </c>
    </row>
    <row r="181" spans="1:22" x14ac:dyDescent="0.2">
      <c r="A181" s="53">
        <v>9013261</v>
      </c>
      <c r="B181" s="1" t="s">
        <v>204</v>
      </c>
      <c r="C181" s="5" t="s">
        <v>201</v>
      </c>
      <c r="G181" s="47">
        <f t="shared" si="17"/>
        <v>0</v>
      </c>
      <c r="H181" s="47">
        <v>109.9</v>
      </c>
      <c r="I181" s="16" t="str">
        <f t="shared" si="18"/>
        <v>SEM INFORMAÇÃO DE CUSTOS</v>
      </c>
      <c r="J181" s="5">
        <f t="shared" si="19"/>
        <v>2</v>
      </c>
      <c r="K181" s="5">
        <v>0</v>
      </c>
      <c r="L181" s="5">
        <v>2</v>
      </c>
      <c r="M181" s="5">
        <v>0</v>
      </c>
      <c r="N181" s="48">
        <f t="shared" si="16"/>
        <v>219.8</v>
      </c>
      <c r="O181" s="48">
        <f t="shared" si="20"/>
        <v>0</v>
      </c>
      <c r="P181" s="48">
        <f t="shared" si="21"/>
        <v>219.8</v>
      </c>
      <c r="Q181" s="48">
        <f t="shared" si="22"/>
        <v>0</v>
      </c>
      <c r="R181" s="5" t="s">
        <v>682</v>
      </c>
      <c r="S181" s="5" t="s">
        <v>683</v>
      </c>
      <c r="V181" s="44">
        <f t="shared" si="23"/>
        <v>219.8</v>
      </c>
    </row>
    <row r="182" spans="1:22" x14ac:dyDescent="0.2">
      <c r="A182" s="53">
        <v>9013572</v>
      </c>
      <c r="B182" s="1" t="s">
        <v>205</v>
      </c>
      <c r="C182" s="5" t="s">
        <v>201</v>
      </c>
      <c r="E182" s="47">
        <v>8.16</v>
      </c>
      <c r="F182" s="47">
        <v>12.15</v>
      </c>
      <c r="G182" s="47">
        <f t="shared" si="17"/>
        <v>20.310000000000002</v>
      </c>
      <c r="H182" s="47">
        <v>179.9</v>
      </c>
      <c r="I182" s="16">
        <f t="shared" si="18"/>
        <v>8.8577055637616926</v>
      </c>
      <c r="J182" s="5">
        <f t="shared" si="19"/>
        <v>3</v>
      </c>
      <c r="K182" s="5">
        <v>1</v>
      </c>
      <c r="L182" s="5">
        <v>2</v>
      </c>
      <c r="M182" s="5">
        <v>0</v>
      </c>
      <c r="N182" s="48">
        <f t="shared" si="16"/>
        <v>359.8</v>
      </c>
      <c r="O182" s="48">
        <f t="shared" si="20"/>
        <v>179.9</v>
      </c>
      <c r="P182" s="48">
        <f t="shared" si="21"/>
        <v>539.70000000000005</v>
      </c>
      <c r="Q182" s="48">
        <f t="shared" si="22"/>
        <v>60.930000000000007</v>
      </c>
      <c r="R182" s="5" t="s">
        <v>682</v>
      </c>
      <c r="S182" s="5" t="s">
        <v>683</v>
      </c>
      <c r="V182" s="44">
        <f t="shared" si="23"/>
        <v>359.8</v>
      </c>
    </row>
    <row r="183" spans="1:22" x14ac:dyDescent="0.2">
      <c r="A183" s="53">
        <v>9013740</v>
      </c>
      <c r="B183" s="1" t="s">
        <v>206</v>
      </c>
      <c r="C183" s="5" t="s">
        <v>201</v>
      </c>
      <c r="G183" s="47">
        <f t="shared" si="17"/>
        <v>0</v>
      </c>
      <c r="H183" s="47">
        <v>229.9</v>
      </c>
      <c r="I183" s="16" t="str">
        <f t="shared" si="18"/>
        <v>SEM INFORMAÇÃO DE CUSTOS</v>
      </c>
      <c r="J183" s="5">
        <f t="shared" si="19"/>
        <v>1</v>
      </c>
      <c r="K183" s="5">
        <v>0</v>
      </c>
      <c r="L183" s="5">
        <v>1</v>
      </c>
      <c r="M183" s="5">
        <v>0</v>
      </c>
      <c r="N183" s="48">
        <f t="shared" si="16"/>
        <v>229.9</v>
      </c>
      <c r="O183" s="48">
        <f t="shared" si="20"/>
        <v>0</v>
      </c>
      <c r="P183" s="48">
        <f t="shared" si="21"/>
        <v>229.9</v>
      </c>
      <c r="Q183" s="48">
        <f t="shared" si="22"/>
        <v>0</v>
      </c>
      <c r="R183" s="5" t="s">
        <v>682</v>
      </c>
      <c r="S183" s="5" t="s">
        <v>683</v>
      </c>
      <c r="V183" s="44">
        <f t="shared" si="23"/>
        <v>229.9</v>
      </c>
    </row>
    <row r="184" spans="1:22" x14ac:dyDescent="0.2">
      <c r="A184" s="53">
        <v>9014245</v>
      </c>
      <c r="B184" s="1" t="s">
        <v>207</v>
      </c>
      <c r="C184" s="5" t="s">
        <v>201</v>
      </c>
      <c r="G184" s="47">
        <f t="shared" si="17"/>
        <v>0</v>
      </c>
      <c r="H184" s="47">
        <v>74.900000000000006</v>
      </c>
      <c r="I184" s="16" t="str">
        <f t="shared" si="18"/>
        <v>SEM INFORMAÇÃO DE CUSTOS</v>
      </c>
      <c r="J184" s="5">
        <f t="shared" si="19"/>
        <v>1</v>
      </c>
      <c r="K184" s="5">
        <v>0</v>
      </c>
      <c r="L184" s="5">
        <v>1</v>
      </c>
      <c r="M184" s="5">
        <v>0</v>
      </c>
      <c r="N184" s="48">
        <f t="shared" si="16"/>
        <v>74.900000000000006</v>
      </c>
      <c r="O184" s="48">
        <f t="shared" si="20"/>
        <v>0</v>
      </c>
      <c r="P184" s="48">
        <f t="shared" si="21"/>
        <v>74.900000000000006</v>
      </c>
      <c r="Q184" s="48">
        <f t="shared" si="22"/>
        <v>0</v>
      </c>
      <c r="R184" s="5" t="s">
        <v>682</v>
      </c>
      <c r="S184" s="5" t="s">
        <v>683</v>
      </c>
      <c r="V184" s="44">
        <f t="shared" si="23"/>
        <v>74.900000000000006</v>
      </c>
    </row>
    <row r="185" spans="1:22" x14ac:dyDescent="0.2">
      <c r="A185" s="53">
        <v>9014582</v>
      </c>
      <c r="B185" s="1" t="s">
        <v>201</v>
      </c>
      <c r="C185" s="5" t="s">
        <v>201</v>
      </c>
      <c r="G185" s="47">
        <f t="shared" si="17"/>
        <v>0</v>
      </c>
      <c r="H185" s="47">
        <v>159.9</v>
      </c>
      <c r="I185" s="16" t="str">
        <f t="shared" si="18"/>
        <v>SEM INFORMAÇÃO DE CUSTOS</v>
      </c>
      <c r="J185" s="5">
        <f t="shared" si="19"/>
        <v>2</v>
      </c>
      <c r="K185" s="5">
        <v>0</v>
      </c>
      <c r="L185" s="5">
        <v>2</v>
      </c>
      <c r="M185" s="5">
        <v>0</v>
      </c>
      <c r="N185" s="48">
        <f t="shared" si="16"/>
        <v>319.8</v>
      </c>
      <c r="O185" s="48">
        <f t="shared" si="20"/>
        <v>0</v>
      </c>
      <c r="P185" s="48">
        <f t="shared" si="21"/>
        <v>319.8</v>
      </c>
      <c r="Q185" s="48">
        <f t="shared" si="22"/>
        <v>0</v>
      </c>
      <c r="R185" s="5" t="s">
        <v>682</v>
      </c>
      <c r="S185" s="5" t="s">
        <v>683</v>
      </c>
      <c r="V185" s="44">
        <f t="shared" si="23"/>
        <v>319.8</v>
      </c>
    </row>
    <row r="186" spans="1:22" x14ac:dyDescent="0.2">
      <c r="A186" s="53">
        <v>9015007</v>
      </c>
      <c r="B186" s="1" t="s">
        <v>201</v>
      </c>
      <c r="C186" s="5" t="s">
        <v>201</v>
      </c>
      <c r="G186" s="47">
        <f t="shared" si="17"/>
        <v>0</v>
      </c>
      <c r="H186" s="47">
        <v>179.9</v>
      </c>
      <c r="I186" s="16" t="str">
        <f t="shared" si="18"/>
        <v>SEM INFORMAÇÃO DE CUSTOS</v>
      </c>
      <c r="J186" s="5">
        <f t="shared" si="19"/>
        <v>2</v>
      </c>
      <c r="K186" s="5">
        <v>0</v>
      </c>
      <c r="L186" s="5">
        <v>2</v>
      </c>
      <c r="M186" s="5">
        <v>0</v>
      </c>
      <c r="N186" s="48">
        <f t="shared" si="16"/>
        <v>359.8</v>
      </c>
      <c r="O186" s="48">
        <f t="shared" si="20"/>
        <v>0</v>
      </c>
      <c r="P186" s="48">
        <f t="shared" si="21"/>
        <v>359.8</v>
      </c>
      <c r="Q186" s="48">
        <f t="shared" si="22"/>
        <v>0</v>
      </c>
      <c r="R186" s="5" t="s">
        <v>682</v>
      </c>
      <c r="S186" s="5" t="s">
        <v>683</v>
      </c>
      <c r="V186" s="44">
        <f t="shared" si="23"/>
        <v>359.8</v>
      </c>
    </row>
    <row r="187" spans="1:22" x14ac:dyDescent="0.2">
      <c r="A187" s="53">
        <v>9015038</v>
      </c>
      <c r="B187" s="1" t="s">
        <v>201</v>
      </c>
      <c r="C187" s="5" t="s">
        <v>201</v>
      </c>
      <c r="G187" s="47">
        <f t="shared" si="17"/>
        <v>0</v>
      </c>
      <c r="H187" s="47">
        <v>269.89999999999998</v>
      </c>
      <c r="I187" s="16" t="str">
        <f t="shared" si="18"/>
        <v>SEM INFORMAÇÃO DE CUSTOS</v>
      </c>
      <c r="J187" s="5">
        <f t="shared" si="19"/>
        <v>2</v>
      </c>
      <c r="K187" s="5">
        <v>1</v>
      </c>
      <c r="L187" s="5">
        <v>1</v>
      </c>
      <c r="M187" s="5">
        <v>0</v>
      </c>
      <c r="N187" s="48">
        <f t="shared" si="16"/>
        <v>269.89999999999998</v>
      </c>
      <c r="O187" s="48">
        <f t="shared" si="20"/>
        <v>269.89999999999998</v>
      </c>
      <c r="P187" s="48">
        <f t="shared" si="21"/>
        <v>539.79999999999995</v>
      </c>
      <c r="Q187" s="48">
        <f t="shared" si="22"/>
        <v>0</v>
      </c>
      <c r="R187" s="5" t="s">
        <v>682</v>
      </c>
      <c r="S187" s="5" t="s">
        <v>683</v>
      </c>
      <c r="V187" s="44">
        <f t="shared" si="23"/>
        <v>269.89999999999998</v>
      </c>
    </row>
    <row r="188" spans="1:22" x14ac:dyDescent="0.2">
      <c r="A188" s="53">
        <v>9015783</v>
      </c>
      <c r="B188" s="1" t="s">
        <v>201</v>
      </c>
      <c r="C188" s="5" t="s">
        <v>201</v>
      </c>
      <c r="E188" s="47">
        <v>11.05</v>
      </c>
      <c r="F188" s="47">
        <v>11.14</v>
      </c>
      <c r="G188" s="47">
        <f t="shared" si="17"/>
        <v>22.19</v>
      </c>
      <c r="H188" s="47">
        <v>149.9</v>
      </c>
      <c r="I188" s="16">
        <f t="shared" si="18"/>
        <v>6.7552951780081116</v>
      </c>
      <c r="J188" s="5">
        <f t="shared" si="19"/>
        <v>9</v>
      </c>
      <c r="K188" s="5">
        <v>1</v>
      </c>
      <c r="L188" s="5">
        <v>8</v>
      </c>
      <c r="M188" s="5">
        <v>0</v>
      </c>
      <c r="N188" s="48">
        <f t="shared" si="16"/>
        <v>1199.2</v>
      </c>
      <c r="O188" s="48">
        <f t="shared" si="20"/>
        <v>149.9</v>
      </c>
      <c r="P188" s="48">
        <f t="shared" si="21"/>
        <v>1349.1000000000001</v>
      </c>
      <c r="Q188" s="48">
        <f t="shared" si="22"/>
        <v>199.71</v>
      </c>
      <c r="R188" s="5" t="s">
        <v>682</v>
      </c>
      <c r="S188" s="5" t="s">
        <v>683</v>
      </c>
      <c r="V188" s="44">
        <f t="shared" si="23"/>
        <v>1199.2</v>
      </c>
    </row>
    <row r="189" spans="1:22" x14ac:dyDescent="0.2">
      <c r="A189" s="53">
        <v>9016262</v>
      </c>
      <c r="B189" s="1" t="s">
        <v>208</v>
      </c>
      <c r="C189" s="5" t="s">
        <v>201</v>
      </c>
      <c r="G189" s="47">
        <f t="shared" si="17"/>
        <v>0</v>
      </c>
      <c r="H189" s="47">
        <v>119.9</v>
      </c>
      <c r="I189" s="16" t="str">
        <f t="shared" si="18"/>
        <v>SEM INFORMAÇÃO DE CUSTOS</v>
      </c>
      <c r="J189" s="5">
        <f t="shared" si="19"/>
        <v>1</v>
      </c>
      <c r="K189" s="5">
        <v>1</v>
      </c>
      <c r="L189" s="5">
        <v>0</v>
      </c>
      <c r="M189" s="5">
        <v>0</v>
      </c>
      <c r="N189" s="48">
        <f t="shared" si="16"/>
        <v>0</v>
      </c>
      <c r="O189" s="48">
        <f t="shared" si="20"/>
        <v>119.9</v>
      </c>
      <c r="P189" s="48">
        <f t="shared" si="21"/>
        <v>119.9</v>
      </c>
      <c r="Q189" s="48">
        <f t="shared" si="22"/>
        <v>0</v>
      </c>
      <c r="R189" s="5" t="s">
        <v>682</v>
      </c>
      <c r="S189" s="5" t="s">
        <v>683</v>
      </c>
      <c r="V189" s="44">
        <f t="shared" si="23"/>
        <v>0</v>
      </c>
    </row>
    <row r="190" spans="1:22" x14ac:dyDescent="0.2">
      <c r="A190" s="53">
        <v>9016297</v>
      </c>
      <c r="B190" s="1" t="s">
        <v>201</v>
      </c>
      <c r="C190" s="5" t="s">
        <v>201</v>
      </c>
      <c r="G190" s="47">
        <f t="shared" si="17"/>
        <v>0</v>
      </c>
      <c r="H190" s="47">
        <v>189.9</v>
      </c>
      <c r="I190" s="16" t="str">
        <f t="shared" si="18"/>
        <v>SEM INFORMAÇÃO DE CUSTOS</v>
      </c>
      <c r="J190" s="5">
        <f t="shared" si="19"/>
        <v>2</v>
      </c>
      <c r="K190" s="5">
        <v>1</v>
      </c>
      <c r="L190" s="5">
        <v>1</v>
      </c>
      <c r="M190" s="5">
        <v>0</v>
      </c>
      <c r="N190" s="48">
        <f t="shared" si="16"/>
        <v>189.9</v>
      </c>
      <c r="O190" s="48">
        <f t="shared" si="20"/>
        <v>189.9</v>
      </c>
      <c r="P190" s="48">
        <f t="shared" si="21"/>
        <v>379.8</v>
      </c>
      <c r="Q190" s="48">
        <f t="shared" si="22"/>
        <v>0</v>
      </c>
      <c r="R190" s="5" t="s">
        <v>682</v>
      </c>
      <c r="S190" s="5" t="s">
        <v>683</v>
      </c>
      <c r="V190" s="44">
        <f t="shared" si="23"/>
        <v>189.9</v>
      </c>
    </row>
    <row r="191" spans="1:22" x14ac:dyDescent="0.2">
      <c r="A191" s="53">
        <v>9016549</v>
      </c>
      <c r="B191" s="1" t="s">
        <v>201</v>
      </c>
      <c r="C191" s="5" t="s">
        <v>201</v>
      </c>
      <c r="G191" s="47">
        <f t="shared" si="17"/>
        <v>0</v>
      </c>
      <c r="H191" s="47">
        <v>119.9</v>
      </c>
      <c r="I191" s="16" t="str">
        <f t="shared" si="18"/>
        <v>SEM INFORMAÇÃO DE CUSTOS</v>
      </c>
      <c r="J191" s="5">
        <f t="shared" si="19"/>
        <v>1</v>
      </c>
      <c r="K191" s="5">
        <v>0</v>
      </c>
      <c r="L191" s="5">
        <v>1</v>
      </c>
      <c r="M191" s="5">
        <v>0</v>
      </c>
      <c r="N191" s="48">
        <f t="shared" si="16"/>
        <v>119.9</v>
      </c>
      <c r="O191" s="48">
        <f t="shared" si="20"/>
        <v>0</v>
      </c>
      <c r="P191" s="48">
        <f t="shared" si="21"/>
        <v>119.9</v>
      </c>
      <c r="Q191" s="48">
        <f t="shared" si="22"/>
        <v>0</v>
      </c>
      <c r="R191" s="5" t="s">
        <v>682</v>
      </c>
      <c r="S191" s="5" t="s">
        <v>683</v>
      </c>
      <c r="V191" s="44">
        <f t="shared" si="23"/>
        <v>119.9</v>
      </c>
    </row>
    <row r="192" spans="1:22" x14ac:dyDescent="0.2">
      <c r="A192" s="53">
        <v>9016620</v>
      </c>
      <c r="B192" s="1" t="s">
        <v>201</v>
      </c>
      <c r="C192" s="5" t="s">
        <v>201</v>
      </c>
      <c r="G192" s="47">
        <f t="shared" si="17"/>
        <v>0</v>
      </c>
      <c r="H192" s="47">
        <v>139.9</v>
      </c>
      <c r="I192" s="16" t="str">
        <f t="shared" si="18"/>
        <v>SEM INFORMAÇÃO DE CUSTOS</v>
      </c>
      <c r="J192" s="5">
        <f t="shared" si="19"/>
        <v>1</v>
      </c>
      <c r="K192" s="5">
        <v>0</v>
      </c>
      <c r="L192" s="5">
        <v>1</v>
      </c>
      <c r="M192" s="5">
        <v>0</v>
      </c>
      <c r="N192" s="48">
        <f t="shared" si="16"/>
        <v>139.9</v>
      </c>
      <c r="O192" s="48">
        <f t="shared" si="20"/>
        <v>0</v>
      </c>
      <c r="P192" s="48">
        <f t="shared" si="21"/>
        <v>139.9</v>
      </c>
      <c r="Q192" s="48">
        <f t="shared" si="22"/>
        <v>0</v>
      </c>
      <c r="R192" s="5" t="s">
        <v>682</v>
      </c>
      <c r="S192" s="5" t="s">
        <v>683</v>
      </c>
      <c r="V192" s="44">
        <f t="shared" si="23"/>
        <v>139.9</v>
      </c>
    </row>
    <row r="193" spans="1:22" x14ac:dyDescent="0.2">
      <c r="A193" s="53">
        <v>9016647</v>
      </c>
      <c r="B193" s="1" t="s">
        <v>201</v>
      </c>
      <c r="C193" s="5" t="s">
        <v>201</v>
      </c>
      <c r="G193" s="47">
        <f t="shared" si="17"/>
        <v>0</v>
      </c>
      <c r="H193" s="47">
        <v>174.9</v>
      </c>
      <c r="I193" s="16" t="str">
        <f t="shared" si="18"/>
        <v>SEM INFORMAÇÃO DE CUSTOS</v>
      </c>
      <c r="J193" s="5">
        <f t="shared" si="19"/>
        <v>0</v>
      </c>
      <c r="K193" s="5">
        <v>0</v>
      </c>
      <c r="L193" s="5">
        <v>0</v>
      </c>
      <c r="M193" s="5">
        <v>0</v>
      </c>
      <c r="N193" s="48">
        <f t="shared" si="16"/>
        <v>0</v>
      </c>
      <c r="O193" s="48">
        <f t="shared" si="20"/>
        <v>0</v>
      </c>
      <c r="P193" s="48">
        <f t="shared" si="21"/>
        <v>0</v>
      </c>
      <c r="Q193" s="48">
        <f t="shared" si="22"/>
        <v>0</v>
      </c>
      <c r="R193" s="5" t="s">
        <v>682</v>
      </c>
      <c r="S193" s="5" t="s">
        <v>683</v>
      </c>
      <c r="V193" s="44">
        <f t="shared" si="23"/>
        <v>0</v>
      </c>
    </row>
    <row r="194" spans="1:22" x14ac:dyDescent="0.2">
      <c r="A194" s="53">
        <v>9016659</v>
      </c>
      <c r="B194" s="1" t="s">
        <v>209</v>
      </c>
      <c r="C194" s="5" t="s">
        <v>201</v>
      </c>
      <c r="E194" s="47">
        <v>11.95</v>
      </c>
      <c r="G194" s="47">
        <f t="shared" si="17"/>
        <v>11.95</v>
      </c>
      <c r="H194" s="47">
        <v>139.9</v>
      </c>
      <c r="I194" s="16">
        <f t="shared" si="18"/>
        <v>11.707112970711298</v>
      </c>
      <c r="J194" s="5">
        <f t="shared" si="19"/>
        <v>5</v>
      </c>
      <c r="K194" s="5">
        <v>1</v>
      </c>
      <c r="L194" s="5">
        <v>4</v>
      </c>
      <c r="M194" s="5">
        <v>0</v>
      </c>
      <c r="N194" s="48">
        <f t="shared" ref="N194:N257" si="24">L194*H194</f>
        <v>559.6</v>
      </c>
      <c r="O194" s="48">
        <f t="shared" si="20"/>
        <v>139.9</v>
      </c>
      <c r="P194" s="48">
        <f t="shared" si="21"/>
        <v>699.5</v>
      </c>
      <c r="Q194" s="48">
        <f t="shared" si="22"/>
        <v>59.75</v>
      </c>
      <c r="R194" s="5" t="s">
        <v>682</v>
      </c>
      <c r="S194" s="5" t="s">
        <v>683</v>
      </c>
      <c r="V194" s="44">
        <f t="shared" si="23"/>
        <v>559.6</v>
      </c>
    </row>
    <row r="195" spans="1:22" x14ac:dyDescent="0.2">
      <c r="A195" s="53">
        <v>9016731</v>
      </c>
      <c r="B195" s="1" t="s">
        <v>210</v>
      </c>
      <c r="C195" s="5" t="s">
        <v>201</v>
      </c>
      <c r="E195" s="47">
        <v>9.5</v>
      </c>
      <c r="F195" s="47">
        <v>24.81</v>
      </c>
      <c r="G195" s="47">
        <f t="shared" ref="G195:G258" si="25">SUM(E195:F195)</f>
        <v>34.31</v>
      </c>
      <c r="H195" s="47">
        <v>199.9</v>
      </c>
      <c r="I195" s="16">
        <f t="shared" ref="I195:I258" si="26">IFERROR(H195/G195*100%,"SEM INFORMAÇÃO DE CUSTOS")</f>
        <v>5.8262897114543861</v>
      </c>
      <c r="J195" s="5">
        <f t="shared" ref="J195:J258" si="27">K195+L195</f>
        <v>3</v>
      </c>
      <c r="K195" s="5">
        <v>0</v>
      </c>
      <c r="L195" s="5">
        <v>3</v>
      </c>
      <c r="M195" s="5">
        <v>0</v>
      </c>
      <c r="N195" s="48">
        <f t="shared" si="24"/>
        <v>599.70000000000005</v>
      </c>
      <c r="O195" s="48">
        <f t="shared" ref="O195:O258" si="28">K195*H195</f>
        <v>0</v>
      </c>
      <c r="P195" s="48">
        <f t="shared" ref="P195:P258" si="29">O195+N195</f>
        <v>599.70000000000005</v>
      </c>
      <c r="Q195" s="48">
        <f t="shared" ref="Q195:Q258" si="30">J195*G195</f>
        <v>102.93</v>
      </c>
      <c r="R195" s="5" t="s">
        <v>682</v>
      </c>
      <c r="S195" s="5" t="s">
        <v>683</v>
      </c>
      <c r="V195" s="44">
        <f t="shared" ref="V195:V258" si="31">L195*H195</f>
        <v>599.70000000000005</v>
      </c>
    </row>
    <row r="196" spans="1:22" x14ac:dyDescent="0.2">
      <c r="A196" s="53">
        <v>9016752</v>
      </c>
      <c r="B196" s="1" t="s">
        <v>201</v>
      </c>
      <c r="C196" s="5" t="s">
        <v>201</v>
      </c>
      <c r="G196" s="47">
        <f t="shared" si="25"/>
        <v>0</v>
      </c>
      <c r="H196" s="47">
        <v>139.9</v>
      </c>
      <c r="I196" s="16" t="str">
        <f t="shared" si="26"/>
        <v>SEM INFORMAÇÃO DE CUSTOS</v>
      </c>
      <c r="J196" s="5">
        <f t="shared" si="27"/>
        <v>1</v>
      </c>
      <c r="K196" s="5">
        <v>0</v>
      </c>
      <c r="L196" s="5">
        <v>1</v>
      </c>
      <c r="M196" s="5">
        <v>0</v>
      </c>
      <c r="N196" s="48">
        <f t="shared" si="24"/>
        <v>139.9</v>
      </c>
      <c r="O196" s="48">
        <f t="shared" si="28"/>
        <v>0</v>
      </c>
      <c r="P196" s="48">
        <f t="shared" si="29"/>
        <v>139.9</v>
      </c>
      <c r="Q196" s="48">
        <f t="shared" si="30"/>
        <v>0</v>
      </c>
      <c r="R196" s="5" t="s">
        <v>682</v>
      </c>
      <c r="S196" s="5" t="s">
        <v>683</v>
      </c>
      <c r="V196" s="44">
        <f t="shared" si="31"/>
        <v>139.9</v>
      </c>
    </row>
    <row r="197" spans="1:22" x14ac:dyDescent="0.2">
      <c r="A197" s="53" t="s">
        <v>211</v>
      </c>
      <c r="B197" s="1" t="s">
        <v>212</v>
      </c>
      <c r="C197" s="5" t="s">
        <v>201</v>
      </c>
      <c r="G197" s="47">
        <f t="shared" si="25"/>
        <v>0</v>
      </c>
      <c r="H197" s="47">
        <v>129.9</v>
      </c>
      <c r="I197" s="16" t="str">
        <f t="shared" si="26"/>
        <v>SEM INFORMAÇÃO DE CUSTOS</v>
      </c>
      <c r="J197" s="5">
        <f t="shared" si="27"/>
        <v>2</v>
      </c>
      <c r="K197" s="5">
        <v>1</v>
      </c>
      <c r="L197" s="5">
        <v>1</v>
      </c>
      <c r="M197" s="5">
        <v>0</v>
      </c>
      <c r="N197" s="48">
        <f t="shared" si="24"/>
        <v>129.9</v>
      </c>
      <c r="O197" s="48">
        <f t="shared" si="28"/>
        <v>129.9</v>
      </c>
      <c r="P197" s="48">
        <f t="shared" si="29"/>
        <v>259.8</v>
      </c>
      <c r="Q197" s="48">
        <f t="shared" si="30"/>
        <v>0</v>
      </c>
      <c r="R197" s="5" t="s">
        <v>682</v>
      </c>
      <c r="S197" s="5" t="s">
        <v>683</v>
      </c>
      <c r="V197" s="44">
        <f t="shared" si="31"/>
        <v>129.9</v>
      </c>
    </row>
    <row r="198" spans="1:22" x14ac:dyDescent="0.2">
      <c r="A198" s="53" t="s">
        <v>213</v>
      </c>
      <c r="B198" s="1" t="s">
        <v>214</v>
      </c>
      <c r="C198" s="5" t="s">
        <v>201</v>
      </c>
      <c r="G198" s="47">
        <f t="shared" si="25"/>
        <v>0</v>
      </c>
      <c r="H198" s="47">
        <v>139.9</v>
      </c>
      <c r="I198" s="16" t="str">
        <f t="shared" si="26"/>
        <v>SEM INFORMAÇÃO DE CUSTOS</v>
      </c>
      <c r="J198" s="5">
        <f t="shared" si="27"/>
        <v>2</v>
      </c>
      <c r="K198" s="5">
        <v>1</v>
      </c>
      <c r="L198" s="5">
        <v>1</v>
      </c>
      <c r="M198" s="5">
        <v>0</v>
      </c>
      <c r="N198" s="48">
        <f t="shared" si="24"/>
        <v>139.9</v>
      </c>
      <c r="O198" s="48">
        <f t="shared" si="28"/>
        <v>139.9</v>
      </c>
      <c r="P198" s="48">
        <f t="shared" si="29"/>
        <v>279.8</v>
      </c>
      <c r="Q198" s="48">
        <f t="shared" si="30"/>
        <v>0</v>
      </c>
      <c r="R198" s="5" t="s">
        <v>682</v>
      </c>
      <c r="S198" s="5" t="s">
        <v>683</v>
      </c>
      <c r="V198" s="44">
        <f t="shared" si="31"/>
        <v>139.9</v>
      </c>
    </row>
    <row r="199" spans="1:22" x14ac:dyDescent="0.2">
      <c r="A199" s="53" t="s">
        <v>215</v>
      </c>
      <c r="B199" s="1" t="s">
        <v>216</v>
      </c>
      <c r="C199" s="5" t="s">
        <v>201</v>
      </c>
      <c r="G199" s="47">
        <f t="shared" si="25"/>
        <v>0</v>
      </c>
      <c r="H199" s="47">
        <v>119.9</v>
      </c>
      <c r="I199" s="16" t="str">
        <f t="shared" si="26"/>
        <v>SEM INFORMAÇÃO DE CUSTOS</v>
      </c>
      <c r="J199" s="5">
        <f t="shared" si="27"/>
        <v>1</v>
      </c>
      <c r="K199" s="5">
        <v>0</v>
      </c>
      <c r="L199" s="5">
        <v>1</v>
      </c>
      <c r="M199" s="5">
        <v>0</v>
      </c>
      <c r="N199" s="48">
        <f t="shared" si="24"/>
        <v>119.9</v>
      </c>
      <c r="O199" s="48">
        <f t="shared" si="28"/>
        <v>0</v>
      </c>
      <c r="P199" s="48">
        <f t="shared" si="29"/>
        <v>119.9</v>
      </c>
      <c r="Q199" s="48">
        <f t="shared" si="30"/>
        <v>0</v>
      </c>
      <c r="R199" s="5" t="s">
        <v>682</v>
      </c>
      <c r="S199" s="5" t="s">
        <v>683</v>
      </c>
      <c r="V199" s="44">
        <f t="shared" si="31"/>
        <v>119.9</v>
      </c>
    </row>
    <row r="200" spans="1:22" x14ac:dyDescent="0.2">
      <c r="A200" s="53" t="s">
        <v>217</v>
      </c>
      <c r="B200" s="1" t="s">
        <v>218</v>
      </c>
      <c r="C200" s="5" t="s">
        <v>201</v>
      </c>
      <c r="G200" s="47">
        <f t="shared" si="25"/>
        <v>0</v>
      </c>
      <c r="H200" s="47">
        <v>119.9</v>
      </c>
      <c r="I200" s="16" t="str">
        <f t="shared" si="26"/>
        <v>SEM INFORMAÇÃO DE CUSTOS</v>
      </c>
      <c r="J200" s="5">
        <f t="shared" si="27"/>
        <v>1</v>
      </c>
      <c r="K200" s="5">
        <v>0</v>
      </c>
      <c r="L200" s="5">
        <v>1</v>
      </c>
      <c r="M200" s="5">
        <v>0</v>
      </c>
      <c r="N200" s="48">
        <f t="shared" si="24"/>
        <v>119.9</v>
      </c>
      <c r="O200" s="48">
        <f t="shared" si="28"/>
        <v>0</v>
      </c>
      <c r="P200" s="48">
        <f t="shared" si="29"/>
        <v>119.9</v>
      </c>
      <c r="Q200" s="48">
        <f t="shared" si="30"/>
        <v>0</v>
      </c>
      <c r="R200" s="5" t="s">
        <v>682</v>
      </c>
      <c r="S200" s="5" t="s">
        <v>683</v>
      </c>
      <c r="V200" s="44">
        <f t="shared" si="31"/>
        <v>119.9</v>
      </c>
    </row>
    <row r="201" spans="1:22" x14ac:dyDescent="0.2">
      <c r="A201" s="53" t="s">
        <v>219</v>
      </c>
      <c r="B201" s="1" t="s">
        <v>220</v>
      </c>
      <c r="C201" s="5" t="s">
        <v>201</v>
      </c>
      <c r="G201" s="47">
        <f t="shared" si="25"/>
        <v>0</v>
      </c>
      <c r="H201" s="47">
        <v>119.9</v>
      </c>
      <c r="I201" s="16" t="str">
        <f t="shared" si="26"/>
        <v>SEM INFORMAÇÃO DE CUSTOS</v>
      </c>
      <c r="J201" s="5">
        <f t="shared" si="27"/>
        <v>2</v>
      </c>
      <c r="K201" s="5">
        <v>0</v>
      </c>
      <c r="L201" s="5">
        <v>2</v>
      </c>
      <c r="M201" s="5">
        <v>0</v>
      </c>
      <c r="N201" s="48">
        <f t="shared" si="24"/>
        <v>239.8</v>
      </c>
      <c r="O201" s="48">
        <f t="shared" si="28"/>
        <v>0</v>
      </c>
      <c r="P201" s="48">
        <f t="shared" si="29"/>
        <v>239.8</v>
      </c>
      <c r="Q201" s="48">
        <f t="shared" si="30"/>
        <v>0</v>
      </c>
      <c r="R201" s="5" t="s">
        <v>682</v>
      </c>
      <c r="S201" s="5" t="s">
        <v>683</v>
      </c>
      <c r="V201" s="44">
        <f t="shared" si="31"/>
        <v>239.8</v>
      </c>
    </row>
    <row r="202" spans="1:22" x14ac:dyDescent="0.2">
      <c r="A202" s="53" t="s">
        <v>221</v>
      </c>
      <c r="B202" s="1" t="s">
        <v>222</v>
      </c>
      <c r="C202" s="5" t="s">
        <v>201</v>
      </c>
      <c r="G202" s="47">
        <f t="shared" si="25"/>
        <v>0</v>
      </c>
      <c r="H202" s="47">
        <v>119.9</v>
      </c>
      <c r="I202" s="16" t="str">
        <f t="shared" si="26"/>
        <v>SEM INFORMAÇÃO DE CUSTOS</v>
      </c>
      <c r="J202" s="5">
        <f t="shared" si="27"/>
        <v>2</v>
      </c>
      <c r="K202" s="5">
        <v>1</v>
      </c>
      <c r="L202" s="5">
        <v>1</v>
      </c>
      <c r="M202" s="5">
        <v>0</v>
      </c>
      <c r="N202" s="48">
        <f t="shared" si="24"/>
        <v>119.9</v>
      </c>
      <c r="O202" s="48">
        <f t="shared" si="28"/>
        <v>119.9</v>
      </c>
      <c r="P202" s="48">
        <f t="shared" si="29"/>
        <v>239.8</v>
      </c>
      <c r="Q202" s="48">
        <f t="shared" si="30"/>
        <v>0</v>
      </c>
      <c r="R202" s="5" t="s">
        <v>682</v>
      </c>
      <c r="S202" s="5" t="s">
        <v>683</v>
      </c>
      <c r="V202" s="44">
        <f t="shared" si="31"/>
        <v>119.9</v>
      </c>
    </row>
    <row r="203" spans="1:22" x14ac:dyDescent="0.2">
      <c r="A203" s="53" t="s">
        <v>223</v>
      </c>
      <c r="B203" s="1" t="s">
        <v>224</v>
      </c>
      <c r="C203" s="5" t="s">
        <v>201</v>
      </c>
      <c r="G203" s="47">
        <f t="shared" si="25"/>
        <v>0</v>
      </c>
      <c r="H203" s="47">
        <v>119.9</v>
      </c>
      <c r="I203" s="16" t="str">
        <f t="shared" si="26"/>
        <v>SEM INFORMAÇÃO DE CUSTOS</v>
      </c>
      <c r="J203" s="5">
        <f t="shared" si="27"/>
        <v>2</v>
      </c>
      <c r="K203" s="5">
        <v>0</v>
      </c>
      <c r="L203" s="5">
        <v>2</v>
      </c>
      <c r="M203" s="5">
        <v>0</v>
      </c>
      <c r="N203" s="48">
        <f t="shared" si="24"/>
        <v>239.8</v>
      </c>
      <c r="O203" s="48">
        <f t="shared" si="28"/>
        <v>0</v>
      </c>
      <c r="P203" s="48">
        <f t="shared" si="29"/>
        <v>239.8</v>
      </c>
      <c r="Q203" s="48">
        <f t="shared" si="30"/>
        <v>0</v>
      </c>
      <c r="R203" s="5" t="s">
        <v>682</v>
      </c>
      <c r="S203" s="5" t="s">
        <v>683</v>
      </c>
      <c r="V203" s="44">
        <f t="shared" si="31"/>
        <v>239.8</v>
      </c>
    </row>
    <row r="204" spans="1:22" x14ac:dyDescent="0.2">
      <c r="A204" s="53" t="s">
        <v>225</v>
      </c>
      <c r="B204" s="1" t="s">
        <v>226</v>
      </c>
      <c r="C204" s="5" t="s">
        <v>201</v>
      </c>
      <c r="E204" s="47">
        <v>5.4</v>
      </c>
      <c r="F204" s="47">
        <v>12.66</v>
      </c>
      <c r="G204" s="47">
        <f t="shared" si="25"/>
        <v>18.060000000000002</v>
      </c>
      <c r="H204" s="47">
        <v>108.9</v>
      </c>
      <c r="I204" s="16">
        <f t="shared" si="26"/>
        <v>6.029900332225913</v>
      </c>
      <c r="J204" s="5">
        <f t="shared" si="27"/>
        <v>3</v>
      </c>
      <c r="K204" s="5">
        <v>1</v>
      </c>
      <c r="L204" s="5">
        <v>2</v>
      </c>
      <c r="M204" s="5">
        <v>0</v>
      </c>
      <c r="N204" s="48">
        <f t="shared" si="24"/>
        <v>217.8</v>
      </c>
      <c r="O204" s="48">
        <f t="shared" si="28"/>
        <v>108.9</v>
      </c>
      <c r="P204" s="48">
        <f t="shared" si="29"/>
        <v>326.70000000000005</v>
      </c>
      <c r="Q204" s="48">
        <f t="shared" si="30"/>
        <v>54.180000000000007</v>
      </c>
      <c r="R204" s="5" t="s">
        <v>682</v>
      </c>
      <c r="S204" s="5" t="s">
        <v>683</v>
      </c>
      <c r="V204" s="44">
        <f t="shared" si="31"/>
        <v>217.8</v>
      </c>
    </row>
    <row r="205" spans="1:22" x14ac:dyDescent="0.2">
      <c r="A205" s="53" t="s">
        <v>227</v>
      </c>
      <c r="B205" s="1" t="s">
        <v>228</v>
      </c>
      <c r="C205" s="5" t="s">
        <v>201</v>
      </c>
      <c r="G205" s="47">
        <f t="shared" si="25"/>
        <v>0</v>
      </c>
      <c r="H205" s="47">
        <v>99.9</v>
      </c>
      <c r="I205" s="16" t="str">
        <f t="shared" si="26"/>
        <v>SEM INFORMAÇÃO DE CUSTOS</v>
      </c>
      <c r="J205" s="5">
        <f t="shared" si="27"/>
        <v>0</v>
      </c>
      <c r="K205" s="5">
        <v>0</v>
      </c>
      <c r="L205" s="5">
        <v>0</v>
      </c>
      <c r="M205" s="5">
        <v>0</v>
      </c>
      <c r="N205" s="48">
        <f t="shared" si="24"/>
        <v>0</v>
      </c>
      <c r="O205" s="48">
        <f t="shared" si="28"/>
        <v>0</v>
      </c>
      <c r="P205" s="48">
        <f t="shared" si="29"/>
        <v>0</v>
      </c>
      <c r="Q205" s="48">
        <f t="shared" si="30"/>
        <v>0</v>
      </c>
      <c r="R205" s="5" t="s">
        <v>682</v>
      </c>
      <c r="S205" s="5" t="s">
        <v>683</v>
      </c>
      <c r="V205" s="44">
        <f t="shared" si="31"/>
        <v>0</v>
      </c>
    </row>
    <row r="206" spans="1:22" x14ac:dyDescent="0.2">
      <c r="A206" s="53" t="s">
        <v>229</v>
      </c>
      <c r="B206" s="1" t="s">
        <v>230</v>
      </c>
      <c r="C206" s="5" t="s">
        <v>201</v>
      </c>
      <c r="G206" s="47">
        <f t="shared" si="25"/>
        <v>0</v>
      </c>
      <c r="H206" s="47">
        <v>149.9</v>
      </c>
      <c r="I206" s="16" t="str">
        <f t="shared" si="26"/>
        <v>SEM INFORMAÇÃO DE CUSTOS</v>
      </c>
      <c r="J206" s="5">
        <f t="shared" si="27"/>
        <v>2</v>
      </c>
      <c r="K206" s="5">
        <v>0</v>
      </c>
      <c r="L206" s="5">
        <v>2</v>
      </c>
      <c r="M206" s="5">
        <v>0</v>
      </c>
      <c r="N206" s="48">
        <f t="shared" si="24"/>
        <v>299.8</v>
      </c>
      <c r="O206" s="48">
        <f t="shared" si="28"/>
        <v>0</v>
      </c>
      <c r="P206" s="48">
        <f t="shared" si="29"/>
        <v>299.8</v>
      </c>
      <c r="Q206" s="48">
        <f t="shared" si="30"/>
        <v>0</v>
      </c>
      <c r="R206" s="5" t="s">
        <v>682</v>
      </c>
      <c r="S206" s="5" t="s">
        <v>683</v>
      </c>
      <c r="V206" s="44">
        <f t="shared" si="31"/>
        <v>299.8</v>
      </c>
    </row>
    <row r="207" spans="1:22" x14ac:dyDescent="0.2">
      <c r="A207" s="53" t="s">
        <v>231</v>
      </c>
      <c r="B207" s="1" t="s">
        <v>201</v>
      </c>
      <c r="C207" s="5" t="s">
        <v>201</v>
      </c>
      <c r="G207" s="47">
        <f t="shared" si="25"/>
        <v>0</v>
      </c>
      <c r="H207" s="47">
        <v>159.9</v>
      </c>
      <c r="I207" s="16" t="str">
        <f t="shared" si="26"/>
        <v>SEM INFORMAÇÃO DE CUSTOS</v>
      </c>
      <c r="J207" s="5">
        <f t="shared" si="27"/>
        <v>0</v>
      </c>
      <c r="K207" s="5">
        <v>0</v>
      </c>
      <c r="L207" s="5">
        <v>0</v>
      </c>
      <c r="M207" s="5">
        <v>0</v>
      </c>
      <c r="N207" s="48">
        <f t="shared" si="24"/>
        <v>0</v>
      </c>
      <c r="O207" s="48">
        <f t="shared" si="28"/>
        <v>0</v>
      </c>
      <c r="P207" s="48">
        <f t="shared" si="29"/>
        <v>0</v>
      </c>
      <c r="Q207" s="48">
        <f t="shared" si="30"/>
        <v>0</v>
      </c>
      <c r="R207" s="5" t="s">
        <v>682</v>
      </c>
      <c r="S207" s="5" t="s">
        <v>683</v>
      </c>
      <c r="V207" s="44">
        <f t="shared" si="31"/>
        <v>0</v>
      </c>
    </row>
    <row r="208" spans="1:22" x14ac:dyDescent="0.2">
      <c r="A208" s="53" t="s">
        <v>232</v>
      </c>
      <c r="B208" s="1" t="s">
        <v>233</v>
      </c>
      <c r="C208" s="5" t="s">
        <v>201</v>
      </c>
      <c r="E208" s="47">
        <v>4.9000000000000004</v>
      </c>
      <c r="F208" s="47">
        <v>7.09</v>
      </c>
      <c r="G208" s="47">
        <f t="shared" si="25"/>
        <v>11.99</v>
      </c>
      <c r="H208" s="47">
        <v>89.9</v>
      </c>
      <c r="I208" s="16">
        <f t="shared" si="26"/>
        <v>7.4979149291075897</v>
      </c>
      <c r="J208" s="5">
        <f t="shared" si="27"/>
        <v>2</v>
      </c>
      <c r="K208" s="5">
        <v>0</v>
      </c>
      <c r="L208" s="5">
        <v>2</v>
      </c>
      <c r="M208" s="5">
        <v>0</v>
      </c>
      <c r="N208" s="48">
        <f t="shared" si="24"/>
        <v>179.8</v>
      </c>
      <c r="O208" s="48">
        <f t="shared" si="28"/>
        <v>0</v>
      </c>
      <c r="P208" s="48">
        <f t="shared" si="29"/>
        <v>179.8</v>
      </c>
      <c r="Q208" s="48">
        <f t="shared" si="30"/>
        <v>23.98</v>
      </c>
      <c r="R208" s="5" t="s">
        <v>682</v>
      </c>
      <c r="S208" s="5" t="s">
        <v>683</v>
      </c>
      <c r="V208" s="44">
        <f t="shared" si="31"/>
        <v>179.8</v>
      </c>
    </row>
    <row r="209" spans="1:22" x14ac:dyDescent="0.2">
      <c r="A209" s="53" t="s">
        <v>234</v>
      </c>
      <c r="B209" s="1" t="s">
        <v>201</v>
      </c>
      <c r="C209" s="5" t="s">
        <v>201</v>
      </c>
      <c r="G209" s="47">
        <f t="shared" si="25"/>
        <v>0</v>
      </c>
      <c r="H209" s="47">
        <v>117.9</v>
      </c>
      <c r="I209" s="16" t="str">
        <f t="shared" si="26"/>
        <v>SEM INFORMAÇÃO DE CUSTOS</v>
      </c>
      <c r="J209" s="5">
        <f t="shared" si="27"/>
        <v>0</v>
      </c>
      <c r="K209" s="5">
        <v>0</v>
      </c>
      <c r="L209" s="5">
        <v>0</v>
      </c>
      <c r="M209" s="5">
        <v>0</v>
      </c>
      <c r="N209" s="48">
        <f t="shared" si="24"/>
        <v>0</v>
      </c>
      <c r="O209" s="48">
        <f t="shared" si="28"/>
        <v>0</v>
      </c>
      <c r="P209" s="48">
        <f t="shared" si="29"/>
        <v>0</v>
      </c>
      <c r="Q209" s="48">
        <f t="shared" si="30"/>
        <v>0</v>
      </c>
      <c r="R209" s="5" t="s">
        <v>682</v>
      </c>
      <c r="S209" s="5" t="s">
        <v>683</v>
      </c>
      <c r="V209" s="44">
        <f t="shared" si="31"/>
        <v>0</v>
      </c>
    </row>
    <row r="210" spans="1:22" x14ac:dyDescent="0.2">
      <c r="A210" s="53" t="s">
        <v>235</v>
      </c>
      <c r="B210" s="1" t="s">
        <v>236</v>
      </c>
      <c r="C210" s="5" t="s">
        <v>201</v>
      </c>
      <c r="G210" s="47">
        <f t="shared" si="25"/>
        <v>0</v>
      </c>
      <c r="H210" s="47">
        <v>159.9</v>
      </c>
      <c r="I210" s="16" t="str">
        <f t="shared" si="26"/>
        <v>SEM INFORMAÇÃO DE CUSTOS</v>
      </c>
      <c r="J210" s="5">
        <f t="shared" si="27"/>
        <v>1</v>
      </c>
      <c r="K210" s="5">
        <v>0</v>
      </c>
      <c r="L210" s="5">
        <v>1</v>
      </c>
      <c r="M210" s="5">
        <v>0</v>
      </c>
      <c r="N210" s="48">
        <f t="shared" si="24"/>
        <v>159.9</v>
      </c>
      <c r="O210" s="48">
        <f t="shared" si="28"/>
        <v>0</v>
      </c>
      <c r="P210" s="48">
        <f t="shared" si="29"/>
        <v>159.9</v>
      </c>
      <c r="Q210" s="48">
        <f t="shared" si="30"/>
        <v>0</v>
      </c>
      <c r="R210" s="5" t="s">
        <v>682</v>
      </c>
      <c r="S210" s="5" t="s">
        <v>683</v>
      </c>
      <c r="V210" s="44">
        <f t="shared" si="31"/>
        <v>159.9</v>
      </c>
    </row>
    <row r="211" spans="1:22" x14ac:dyDescent="0.2">
      <c r="A211" s="53" t="s">
        <v>237</v>
      </c>
      <c r="B211" s="1" t="s">
        <v>201</v>
      </c>
      <c r="C211" s="5" t="s">
        <v>201</v>
      </c>
      <c r="G211" s="47">
        <f t="shared" si="25"/>
        <v>0</v>
      </c>
      <c r="H211" s="47">
        <v>94.9</v>
      </c>
      <c r="I211" s="16" t="str">
        <f t="shared" si="26"/>
        <v>SEM INFORMAÇÃO DE CUSTOS</v>
      </c>
      <c r="J211" s="5">
        <f t="shared" si="27"/>
        <v>1</v>
      </c>
      <c r="K211" s="5">
        <v>0</v>
      </c>
      <c r="L211" s="5">
        <v>1</v>
      </c>
      <c r="M211" s="5">
        <v>0</v>
      </c>
      <c r="N211" s="48">
        <f t="shared" si="24"/>
        <v>94.9</v>
      </c>
      <c r="O211" s="48">
        <f t="shared" si="28"/>
        <v>0</v>
      </c>
      <c r="P211" s="48">
        <f t="shared" si="29"/>
        <v>94.9</v>
      </c>
      <c r="Q211" s="48">
        <f t="shared" si="30"/>
        <v>0</v>
      </c>
      <c r="R211" s="5" t="s">
        <v>682</v>
      </c>
      <c r="S211" s="5" t="s">
        <v>683</v>
      </c>
      <c r="V211" s="44">
        <f t="shared" si="31"/>
        <v>94.9</v>
      </c>
    </row>
    <row r="212" spans="1:22" x14ac:dyDescent="0.2">
      <c r="A212" s="53" t="s">
        <v>238</v>
      </c>
      <c r="B212" s="1" t="s">
        <v>200</v>
      </c>
      <c r="C212" s="5" t="s">
        <v>201</v>
      </c>
      <c r="G212" s="47">
        <f t="shared" si="25"/>
        <v>0</v>
      </c>
      <c r="H212" s="47">
        <v>149.9</v>
      </c>
      <c r="I212" s="16" t="str">
        <f t="shared" si="26"/>
        <v>SEM INFORMAÇÃO DE CUSTOS</v>
      </c>
      <c r="J212" s="5">
        <f t="shared" si="27"/>
        <v>2</v>
      </c>
      <c r="K212" s="5">
        <v>0</v>
      </c>
      <c r="L212" s="5">
        <v>2</v>
      </c>
      <c r="M212" s="5">
        <v>0</v>
      </c>
      <c r="N212" s="48">
        <f t="shared" si="24"/>
        <v>299.8</v>
      </c>
      <c r="O212" s="48">
        <f t="shared" si="28"/>
        <v>0</v>
      </c>
      <c r="P212" s="48">
        <f t="shared" si="29"/>
        <v>299.8</v>
      </c>
      <c r="Q212" s="48">
        <f t="shared" si="30"/>
        <v>0</v>
      </c>
      <c r="R212" s="5" t="s">
        <v>682</v>
      </c>
      <c r="S212" s="5" t="s">
        <v>683</v>
      </c>
      <c r="V212" s="44">
        <f t="shared" si="31"/>
        <v>299.8</v>
      </c>
    </row>
    <row r="213" spans="1:22" x14ac:dyDescent="0.2">
      <c r="A213" s="53" t="s">
        <v>239</v>
      </c>
      <c r="B213" s="1" t="s">
        <v>240</v>
      </c>
      <c r="C213" s="5" t="s">
        <v>201</v>
      </c>
      <c r="G213" s="47">
        <f t="shared" si="25"/>
        <v>0</v>
      </c>
      <c r="H213" s="47">
        <v>129.9</v>
      </c>
      <c r="I213" s="16" t="str">
        <f t="shared" si="26"/>
        <v>SEM INFORMAÇÃO DE CUSTOS</v>
      </c>
      <c r="J213" s="5">
        <f t="shared" si="27"/>
        <v>1</v>
      </c>
      <c r="K213" s="5">
        <v>0</v>
      </c>
      <c r="L213" s="5">
        <v>1</v>
      </c>
      <c r="M213" s="5">
        <v>0</v>
      </c>
      <c r="N213" s="48">
        <f t="shared" si="24"/>
        <v>129.9</v>
      </c>
      <c r="O213" s="48">
        <f t="shared" si="28"/>
        <v>0</v>
      </c>
      <c r="P213" s="48">
        <f t="shared" si="29"/>
        <v>129.9</v>
      </c>
      <c r="Q213" s="48">
        <f t="shared" si="30"/>
        <v>0</v>
      </c>
      <c r="R213" s="5" t="s">
        <v>682</v>
      </c>
      <c r="S213" s="5" t="s">
        <v>683</v>
      </c>
      <c r="V213" s="44">
        <f t="shared" si="31"/>
        <v>129.9</v>
      </c>
    </row>
    <row r="214" spans="1:22" x14ac:dyDescent="0.2">
      <c r="A214" s="53" t="s">
        <v>241</v>
      </c>
      <c r="B214" s="1" t="s">
        <v>242</v>
      </c>
      <c r="C214" s="5" t="s">
        <v>201</v>
      </c>
      <c r="G214" s="47">
        <f t="shared" si="25"/>
        <v>0</v>
      </c>
      <c r="H214" s="47">
        <v>149.9</v>
      </c>
      <c r="I214" s="16" t="str">
        <f t="shared" si="26"/>
        <v>SEM INFORMAÇÃO DE CUSTOS</v>
      </c>
      <c r="J214" s="5">
        <f t="shared" si="27"/>
        <v>1</v>
      </c>
      <c r="K214" s="5">
        <v>1</v>
      </c>
      <c r="L214" s="5">
        <v>0</v>
      </c>
      <c r="M214" s="5">
        <v>0</v>
      </c>
      <c r="N214" s="48">
        <f t="shared" si="24"/>
        <v>0</v>
      </c>
      <c r="O214" s="48">
        <f t="shared" si="28"/>
        <v>149.9</v>
      </c>
      <c r="P214" s="48">
        <f t="shared" si="29"/>
        <v>149.9</v>
      </c>
      <c r="Q214" s="48">
        <f t="shared" si="30"/>
        <v>0</v>
      </c>
      <c r="R214" s="5" t="s">
        <v>682</v>
      </c>
      <c r="S214" s="5" t="s">
        <v>683</v>
      </c>
      <c r="V214" s="44">
        <f t="shared" si="31"/>
        <v>0</v>
      </c>
    </row>
    <row r="215" spans="1:22" x14ac:dyDescent="0.2">
      <c r="A215" s="53" t="s">
        <v>243</v>
      </c>
      <c r="B215" s="1" t="s">
        <v>207</v>
      </c>
      <c r="C215" s="5" t="s">
        <v>201</v>
      </c>
      <c r="G215" s="47">
        <f t="shared" si="25"/>
        <v>0</v>
      </c>
      <c r="H215" s="47">
        <v>139.9</v>
      </c>
      <c r="I215" s="16" t="str">
        <f t="shared" si="26"/>
        <v>SEM INFORMAÇÃO DE CUSTOS</v>
      </c>
      <c r="J215" s="5">
        <f t="shared" si="27"/>
        <v>2</v>
      </c>
      <c r="K215" s="5">
        <v>0</v>
      </c>
      <c r="L215" s="5">
        <v>2</v>
      </c>
      <c r="M215" s="5">
        <v>0</v>
      </c>
      <c r="N215" s="48">
        <f t="shared" si="24"/>
        <v>279.8</v>
      </c>
      <c r="O215" s="48">
        <f t="shared" si="28"/>
        <v>0</v>
      </c>
      <c r="P215" s="48">
        <f t="shared" si="29"/>
        <v>279.8</v>
      </c>
      <c r="Q215" s="48">
        <f t="shared" si="30"/>
        <v>0</v>
      </c>
      <c r="R215" s="5" t="s">
        <v>682</v>
      </c>
      <c r="S215" s="5" t="s">
        <v>683</v>
      </c>
      <c r="V215" s="44">
        <f t="shared" si="31"/>
        <v>279.8</v>
      </c>
    </row>
    <row r="216" spans="1:22" x14ac:dyDescent="0.2">
      <c r="A216" s="53" t="s">
        <v>244</v>
      </c>
      <c r="B216" s="1" t="s">
        <v>245</v>
      </c>
      <c r="C216" s="5" t="s">
        <v>49</v>
      </c>
      <c r="E216" s="47">
        <v>2.9</v>
      </c>
      <c r="F216" s="47">
        <v>3.57</v>
      </c>
      <c r="G216" s="47">
        <f t="shared" si="25"/>
        <v>6.47</v>
      </c>
      <c r="H216" s="47">
        <v>64.900000000000006</v>
      </c>
      <c r="I216" s="16">
        <f t="shared" si="26"/>
        <v>10.030911901081918</v>
      </c>
      <c r="J216" s="5">
        <f t="shared" si="27"/>
        <v>3</v>
      </c>
      <c r="K216" s="5">
        <v>0</v>
      </c>
      <c r="L216" s="5">
        <v>3</v>
      </c>
      <c r="M216" s="5">
        <v>0</v>
      </c>
      <c r="N216" s="48">
        <f t="shared" si="24"/>
        <v>194.70000000000002</v>
      </c>
      <c r="O216" s="48">
        <f t="shared" si="28"/>
        <v>0</v>
      </c>
      <c r="P216" s="48">
        <f t="shared" si="29"/>
        <v>194.70000000000002</v>
      </c>
      <c r="Q216" s="48">
        <f t="shared" si="30"/>
        <v>19.41</v>
      </c>
      <c r="R216" s="5" t="s">
        <v>682</v>
      </c>
      <c r="S216" s="5" t="s">
        <v>683</v>
      </c>
      <c r="V216" s="44">
        <f t="shared" si="31"/>
        <v>194.70000000000002</v>
      </c>
    </row>
    <row r="217" spans="1:22" x14ac:dyDescent="0.2">
      <c r="A217" s="53" t="s">
        <v>246</v>
      </c>
      <c r="B217" s="1" t="s">
        <v>247</v>
      </c>
      <c r="C217" s="5" t="s">
        <v>49</v>
      </c>
      <c r="G217" s="47">
        <f t="shared" si="25"/>
        <v>0</v>
      </c>
      <c r="H217" s="47">
        <v>79.900000000000006</v>
      </c>
      <c r="I217" s="16" t="str">
        <f t="shared" si="26"/>
        <v>SEM INFORMAÇÃO DE CUSTOS</v>
      </c>
      <c r="J217" s="5">
        <f t="shared" si="27"/>
        <v>1</v>
      </c>
      <c r="K217" s="5">
        <v>0</v>
      </c>
      <c r="L217" s="5">
        <v>1</v>
      </c>
      <c r="M217" s="5">
        <v>0</v>
      </c>
      <c r="N217" s="48">
        <f t="shared" si="24"/>
        <v>79.900000000000006</v>
      </c>
      <c r="O217" s="48">
        <f t="shared" si="28"/>
        <v>0</v>
      </c>
      <c r="P217" s="48">
        <f t="shared" si="29"/>
        <v>79.900000000000006</v>
      </c>
      <c r="Q217" s="48">
        <f t="shared" si="30"/>
        <v>0</v>
      </c>
      <c r="R217" s="5" t="s">
        <v>682</v>
      </c>
      <c r="S217" s="5" t="s">
        <v>683</v>
      </c>
      <c r="V217" s="44">
        <f t="shared" si="31"/>
        <v>79.900000000000006</v>
      </c>
    </row>
    <row r="218" spans="1:22" x14ac:dyDescent="0.2">
      <c r="A218" s="53" t="s">
        <v>248</v>
      </c>
      <c r="B218" s="1" t="s">
        <v>249</v>
      </c>
      <c r="C218" s="5" t="s">
        <v>49</v>
      </c>
      <c r="E218" s="47">
        <v>2.7</v>
      </c>
      <c r="F218" s="47">
        <v>5.0599999999999996</v>
      </c>
      <c r="G218" s="47">
        <f t="shared" si="25"/>
        <v>7.76</v>
      </c>
      <c r="H218" s="47">
        <v>79.900000000000006</v>
      </c>
      <c r="I218" s="16">
        <f t="shared" si="26"/>
        <v>10.296391752577321</v>
      </c>
      <c r="J218" s="5">
        <f t="shared" si="27"/>
        <v>3</v>
      </c>
      <c r="K218" s="5">
        <v>1</v>
      </c>
      <c r="L218" s="5">
        <v>2</v>
      </c>
      <c r="M218" s="5">
        <v>0</v>
      </c>
      <c r="N218" s="48">
        <f t="shared" si="24"/>
        <v>159.80000000000001</v>
      </c>
      <c r="O218" s="48">
        <f t="shared" si="28"/>
        <v>79.900000000000006</v>
      </c>
      <c r="P218" s="48">
        <f t="shared" si="29"/>
        <v>239.70000000000002</v>
      </c>
      <c r="Q218" s="48">
        <f t="shared" si="30"/>
        <v>23.28</v>
      </c>
      <c r="R218" s="5" t="s">
        <v>682</v>
      </c>
      <c r="S218" s="5" t="s">
        <v>683</v>
      </c>
      <c r="V218" s="44">
        <f t="shared" si="31"/>
        <v>159.80000000000001</v>
      </c>
    </row>
    <row r="219" spans="1:22" x14ac:dyDescent="0.2">
      <c r="A219" s="53" t="s">
        <v>250</v>
      </c>
      <c r="B219" s="1" t="s">
        <v>251</v>
      </c>
      <c r="C219" s="5" t="s">
        <v>49</v>
      </c>
      <c r="E219" s="47">
        <v>3.7</v>
      </c>
      <c r="F219" s="47">
        <v>10.71</v>
      </c>
      <c r="G219" s="47">
        <f t="shared" si="25"/>
        <v>14.41</v>
      </c>
      <c r="H219" s="47">
        <v>79.900000000000006</v>
      </c>
      <c r="I219" s="16">
        <f t="shared" si="26"/>
        <v>5.5447605829285225</v>
      </c>
      <c r="J219" s="5">
        <f t="shared" si="27"/>
        <v>4</v>
      </c>
      <c r="K219" s="5">
        <v>1</v>
      </c>
      <c r="L219" s="5">
        <v>3</v>
      </c>
      <c r="M219" s="5">
        <v>0</v>
      </c>
      <c r="N219" s="48">
        <f t="shared" si="24"/>
        <v>239.70000000000002</v>
      </c>
      <c r="O219" s="48">
        <f t="shared" si="28"/>
        <v>79.900000000000006</v>
      </c>
      <c r="P219" s="48">
        <f t="shared" si="29"/>
        <v>319.60000000000002</v>
      </c>
      <c r="Q219" s="48">
        <f t="shared" si="30"/>
        <v>57.64</v>
      </c>
      <c r="R219" s="5" t="s">
        <v>682</v>
      </c>
      <c r="S219" s="5" t="s">
        <v>683</v>
      </c>
      <c r="V219" s="44">
        <f t="shared" si="31"/>
        <v>239.70000000000002</v>
      </c>
    </row>
    <row r="220" spans="1:22" x14ac:dyDescent="0.2">
      <c r="A220" s="53" t="s">
        <v>252</v>
      </c>
      <c r="B220" s="1" t="s">
        <v>253</v>
      </c>
      <c r="C220" s="5" t="s">
        <v>49</v>
      </c>
      <c r="E220" s="47">
        <v>4.3</v>
      </c>
      <c r="F220" s="47">
        <v>10.71</v>
      </c>
      <c r="G220" s="47">
        <f t="shared" si="25"/>
        <v>15.010000000000002</v>
      </c>
      <c r="H220" s="47">
        <v>89.9</v>
      </c>
      <c r="I220" s="16">
        <f t="shared" si="26"/>
        <v>5.9893404397068615</v>
      </c>
      <c r="J220" s="5">
        <f t="shared" si="27"/>
        <v>3</v>
      </c>
      <c r="K220" s="5">
        <v>0</v>
      </c>
      <c r="L220" s="5">
        <v>3</v>
      </c>
      <c r="M220" s="5">
        <v>0</v>
      </c>
      <c r="N220" s="48">
        <f t="shared" si="24"/>
        <v>269.70000000000005</v>
      </c>
      <c r="O220" s="48">
        <f t="shared" si="28"/>
        <v>0</v>
      </c>
      <c r="P220" s="48">
        <f t="shared" si="29"/>
        <v>269.70000000000005</v>
      </c>
      <c r="Q220" s="48">
        <f t="shared" si="30"/>
        <v>45.03</v>
      </c>
      <c r="R220" s="5" t="s">
        <v>682</v>
      </c>
      <c r="S220" s="5" t="s">
        <v>683</v>
      </c>
      <c r="V220" s="44">
        <f t="shared" si="31"/>
        <v>269.70000000000005</v>
      </c>
    </row>
    <row r="221" spans="1:22" x14ac:dyDescent="0.2">
      <c r="A221" s="53" t="s">
        <v>254</v>
      </c>
      <c r="B221" s="1" t="s">
        <v>255</v>
      </c>
      <c r="C221" s="5" t="s">
        <v>49</v>
      </c>
      <c r="E221" s="47">
        <v>1.6</v>
      </c>
      <c r="F221" s="47">
        <v>2.68</v>
      </c>
      <c r="G221" s="47">
        <f t="shared" si="25"/>
        <v>4.28</v>
      </c>
      <c r="H221" s="47">
        <v>43.9</v>
      </c>
      <c r="I221" s="16">
        <f t="shared" si="26"/>
        <v>10.257009345794392</v>
      </c>
      <c r="J221" s="5">
        <f t="shared" si="27"/>
        <v>4</v>
      </c>
      <c r="K221" s="5">
        <v>1</v>
      </c>
      <c r="L221" s="5">
        <v>3</v>
      </c>
      <c r="M221" s="5">
        <v>0</v>
      </c>
      <c r="N221" s="48">
        <f t="shared" si="24"/>
        <v>131.69999999999999</v>
      </c>
      <c r="O221" s="48">
        <f t="shared" si="28"/>
        <v>43.9</v>
      </c>
      <c r="P221" s="48">
        <f t="shared" si="29"/>
        <v>175.6</v>
      </c>
      <c r="Q221" s="48">
        <f t="shared" si="30"/>
        <v>17.12</v>
      </c>
      <c r="R221" s="5" t="s">
        <v>682</v>
      </c>
      <c r="S221" s="5" t="s">
        <v>683</v>
      </c>
      <c r="V221" s="44">
        <f t="shared" si="31"/>
        <v>131.69999999999999</v>
      </c>
    </row>
    <row r="222" spans="1:22" x14ac:dyDescent="0.2">
      <c r="A222" s="53" t="s">
        <v>256</v>
      </c>
      <c r="B222" s="1" t="s">
        <v>257</v>
      </c>
      <c r="C222" s="5" t="s">
        <v>49</v>
      </c>
      <c r="E222" s="47">
        <v>2.2999999999999998</v>
      </c>
      <c r="F222" s="47">
        <v>2.6</v>
      </c>
      <c r="G222" s="47">
        <f t="shared" si="25"/>
        <v>4.9000000000000004</v>
      </c>
      <c r="H222" s="47">
        <v>59.9</v>
      </c>
      <c r="I222" s="16">
        <f t="shared" si="26"/>
        <v>12.224489795918366</v>
      </c>
      <c r="J222" s="5">
        <f t="shared" si="27"/>
        <v>2</v>
      </c>
      <c r="K222" s="5">
        <v>0</v>
      </c>
      <c r="L222" s="5">
        <v>2</v>
      </c>
      <c r="M222" s="5">
        <v>0</v>
      </c>
      <c r="N222" s="48">
        <f t="shared" si="24"/>
        <v>119.8</v>
      </c>
      <c r="O222" s="48">
        <f t="shared" si="28"/>
        <v>0</v>
      </c>
      <c r="P222" s="48">
        <f t="shared" si="29"/>
        <v>119.8</v>
      </c>
      <c r="Q222" s="48">
        <f t="shared" si="30"/>
        <v>9.8000000000000007</v>
      </c>
      <c r="R222" s="5" t="s">
        <v>682</v>
      </c>
      <c r="S222" s="5" t="s">
        <v>683</v>
      </c>
      <c r="V222" s="44">
        <f t="shared" si="31"/>
        <v>119.8</v>
      </c>
    </row>
    <row r="223" spans="1:22" x14ac:dyDescent="0.2">
      <c r="A223" s="53" t="s">
        <v>258</v>
      </c>
      <c r="B223" s="1" t="s">
        <v>259</v>
      </c>
      <c r="C223" s="5" t="s">
        <v>49</v>
      </c>
      <c r="E223" s="47">
        <v>2.8</v>
      </c>
      <c r="F223" s="47">
        <v>7.14</v>
      </c>
      <c r="G223" s="47">
        <f t="shared" si="25"/>
        <v>9.94</v>
      </c>
      <c r="H223" s="47">
        <v>79.900000000000006</v>
      </c>
      <c r="I223" s="16">
        <f t="shared" si="26"/>
        <v>8.0382293762575454</v>
      </c>
      <c r="J223" s="5">
        <f t="shared" si="27"/>
        <v>4</v>
      </c>
      <c r="K223" s="5">
        <v>0</v>
      </c>
      <c r="L223" s="5">
        <v>4</v>
      </c>
      <c r="M223" s="5">
        <v>0</v>
      </c>
      <c r="N223" s="48">
        <f t="shared" si="24"/>
        <v>319.60000000000002</v>
      </c>
      <c r="O223" s="48">
        <f t="shared" si="28"/>
        <v>0</v>
      </c>
      <c r="P223" s="48">
        <f t="shared" si="29"/>
        <v>319.60000000000002</v>
      </c>
      <c r="Q223" s="48">
        <f t="shared" si="30"/>
        <v>39.76</v>
      </c>
      <c r="R223" s="5" t="s">
        <v>682</v>
      </c>
      <c r="S223" s="5" t="s">
        <v>683</v>
      </c>
      <c r="V223" s="44">
        <f t="shared" si="31"/>
        <v>319.60000000000002</v>
      </c>
    </row>
    <row r="224" spans="1:22" x14ac:dyDescent="0.2">
      <c r="A224" s="53" t="s">
        <v>260</v>
      </c>
      <c r="B224" s="1" t="s">
        <v>261</v>
      </c>
      <c r="C224" s="5" t="s">
        <v>49</v>
      </c>
      <c r="G224" s="47">
        <f t="shared" si="25"/>
        <v>0</v>
      </c>
      <c r="H224" s="47">
        <v>69.900000000000006</v>
      </c>
      <c r="I224" s="16" t="str">
        <f t="shared" si="26"/>
        <v>SEM INFORMAÇÃO DE CUSTOS</v>
      </c>
      <c r="J224" s="5">
        <f t="shared" si="27"/>
        <v>2</v>
      </c>
      <c r="K224" s="5">
        <v>0</v>
      </c>
      <c r="L224" s="5">
        <v>2</v>
      </c>
      <c r="M224" s="5">
        <v>0</v>
      </c>
      <c r="N224" s="48">
        <f t="shared" si="24"/>
        <v>139.80000000000001</v>
      </c>
      <c r="O224" s="48">
        <f t="shared" si="28"/>
        <v>0</v>
      </c>
      <c r="P224" s="48">
        <f t="shared" si="29"/>
        <v>139.80000000000001</v>
      </c>
      <c r="Q224" s="48">
        <f t="shared" si="30"/>
        <v>0</v>
      </c>
      <c r="R224" s="5" t="s">
        <v>682</v>
      </c>
      <c r="S224" s="5" t="s">
        <v>683</v>
      </c>
      <c r="V224" s="44">
        <f t="shared" si="31"/>
        <v>139.80000000000001</v>
      </c>
    </row>
    <row r="225" spans="1:22" x14ac:dyDescent="0.2">
      <c r="A225" s="53" t="s">
        <v>262</v>
      </c>
      <c r="B225" s="1" t="s">
        <v>263</v>
      </c>
      <c r="C225" s="5" t="s">
        <v>49</v>
      </c>
      <c r="E225" s="47">
        <v>1.25</v>
      </c>
      <c r="F225" s="47">
        <v>2.38</v>
      </c>
      <c r="G225" s="47">
        <f t="shared" si="25"/>
        <v>3.63</v>
      </c>
      <c r="H225" s="47">
        <v>49.9</v>
      </c>
      <c r="I225" s="16">
        <f t="shared" si="26"/>
        <v>13.746556473829202</v>
      </c>
      <c r="J225" s="5">
        <f t="shared" si="27"/>
        <v>1</v>
      </c>
      <c r="K225" s="5">
        <v>0</v>
      </c>
      <c r="L225" s="5">
        <v>1</v>
      </c>
      <c r="M225" s="5">
        <v>0</v>
      </c>
      <c r="N225" s="48">
        <f t="shared" si="24"/>
        <v>49.9</v>
      </c>
      <c r="O225" s="48">
        <f t="shared" si="28"/>
        <v>0</v>
      </c>
      <c r="P225" s="48">
        <f t="shared" si="29"/>
        <v>49.9</v>
      </c>
      <c r="Q225" s="48">
        <f t="shared" si="30"/>
        <v>3.63</v>
      </c>
      <c r="R225" s="5" t="s">
        <v>682</v>
      </c>
      <c r="S225" s="5" t="s">
        <v>683</v>
      </c>
      <c r="V225" s="44">
        <f t="shared" si="31"/>
        <v>49.9</v>
      </c>
    </row>
    <row r="226" spans="1:22" x14ac:dyDescent="0.2">
      <c r="A226" s="53" t="s">
        <v>264</v>
      </c>
      <c r="B226" s="1" t="s">
        <v>47</v>
      </c>
      <c r="C226" s="5" t="s">
        <v>49</v>
      </c>
      <c r="G226" s="47">
        <f t="shared" si="25"/>
        <v>0</v>
      </c>
      <c r="H226" s="47">
        <v>64.900000000000006</v>
      </c>
      <c r="I226" s="16" t="str">
        <f t="shared" si="26"/>
        <v>SEM INFORMAÇÃO DE CUSTOS</v>
      </c>
      <c r="J226" s="5">
        <f t="shared" si="27"/>
        <v>1</v>
      </c>
      <c r="K226" s="5">
        <v>0</v>
      </c>
      <c r="L226" s="5">
        <v>1</v>
      </c>
      <c r="M226" s="5">
        <v>0</v>
      </c>
      <c r="N226" s="48">
        <f t="shared" si="24"/>
        <v>64.900000000000006</v>
      </c>
      <c r="O226" s="48">
        <f t="shared" si="28"/>
        <v>0</v>
      </c>
      <c r="P226" s="48">
        <f t="shared" si="29"/>
        <v>64.900000000000006</v>
      </c>
      <c r="Q226" s="48">
        <f t="shared" si="30"/>
        <v>0</v>
      </c>
      <c r="R226" s="5" t="s">
        <v>682</v>
      </c>
      <c r="S226" s="5" t="s">
        <v>683</v>
      </c>
      <c r="V226" s="44">
        <f t="shared" si="31"/>
        <v>64.900000000000006</v>
      </c>
    </row>
    <row r="227" spans="1:22" x14ac:dyDescent="0.2">
      <c r="A227" s="53" t="s">
        <v>265</v>
      </c>
      <c r="B227" s="1" t="s">
        <v>266</v>
      </c>
      <c r="C227" s="5" t="s">
        <v>49</v>
      </c>
      <c r="G227" s="47">
        <f t="shared" si="25"/>
        <v>0</v>
      </c>
      <c r="H227" s="47">
        <v>69.900000000000006</v>
      </c>
      <c r="I227" s="16" t="str">
        <f t="shared" si="26"/>
        <v>SEM INFORMAÇÃO DE CUSTOS</v>
      </c>
      <c r="J227" s="5">
        <f t="shared" si="27"/>
        <v>1</v>
      </c>
      <c r="K227" s="5">
        <v>0</v>
      </c>
      <c r="L227" s="5">
        <v>1</v>
      </c>
      <c r="M227" s="5">
        <v>0</v>
      </c>
      <c r="N227" s="48">
        <f t="shared" si="24"/>
        <v>69.900000000000006</v>
      </c>
      <c r="O227" s="48">
        <f t="shared" si="28"/>
        <v>0</v>
      </c>
      <c r="P227" s="48">
        <f t="shared" si="29"/>
        <v>69.900000000000006</v>
      </c>
      <c r="Q227" s="48">
        <f t="shared" si="30"/>
        <v>0</v>
      </c>
      <c r="R227" s="5" t="s">
        <v>682</v>
      </c>
      <c r="S227" s="5" t="s">
        <v>683</v>
      </c>
      <c r="V227" s="44">
        <f t="shared" si="31"/>
        <v>69.900000000000006</v>
      </c>
    </row>
    <row r="228" spans="1:22" x14ac:dyDescent="0.2">
      <c r="A228" s="53" t="s">
        <v>267</v>
      </c>
      <c r="B228" s="1" t="s">
        <v>268</v>
      </c>
      <c r="C228" s="5" t="s">
        <v>49</v>
      </c>
      <c r="E228" s="47">
        <v>8.5</v>
      </c>
      <c r="F228" s="47">
        <v>4.76</v>
      </c>
      <c r="G228" s="47">
        <f t="shared" si="25"/>
        <v>13.26</v>
      </c>
      <c r="H228" s="47">
        <v>89.9</v>
      </c>
      <c r="I228" s="16">
        <f t="shared" si="26"/>
        <v>6.7797888386123688</v>
      </c>
      <c r="J228" s="5">
        <f t="shared" si="27"/>
        <v>3</v>
      </c>
      <c r="K228" s="5">
        <v>0</v>
      </c>
      <c r="L228" s="5">
        <v>3</v>
      </c>
      <c r="M228" s="5">
        <v>0</v>
      </c>
      <c r="N228" s="48">
        <f t="shared" si="24"/>
        <v>269.70000000000005</v>
      </c>
      <c r="O228" s="48">
        <f t="shared" si="28"/>
        <v>0</v>
      </c>
      <c r="P228" s="48">
        <f t="shared" si="29"/>
        <v>269.70000000000005</v>
      </c>
      <c r="Q228" s="48">
        <f t="shared" si="30"/>
        <v>39.78</v>
      </c>
      <c r="R228" s="5" t="s">
        <v>682</v>
      </c>
      <c r="S228" s="5" t="s">
        <v>683</v>
      </c>
      <c r="V228" s="44">
        <f t="shared" si="31"/>
        <v>269.70000000000005</v>
      </c>
    </row>
    <row r="229" spans="1:22" x14ac:dyDescent="0.2">
      <c r="A229" s="53" t="s">
        <v>269</v>
      </c>
      <c r="B229" s="1" t="s">
        <v>270</v>
      </c>
      <c r="C229" s="5" t="s">
        <v>49</v>
      </c>
      <c r="G229" s="47">
        <f t="shared" si="25"/>
        <v>0</v>
      </c>
      <c r="H229" s="47">
        <v>89.9</v>
      </c>
      <c r="I229" s="16" t="str">
        <f t="shared" si="26"/>
        <v>SEM INFORMAÇÃO DE CUSTOS</v>
      </c>
      <c r="J229" s="5">
        <f t="shared" si="27"/>
        <v>0</v>
      </c>
      <c r="K229" s="5">
        <v>0</v>
      </c>
      <c r="L229" s="5">
        <v>0</v>
      </c>
      <c r="M229" s="5">
        <v>0</v>
      </c>
      <c r="N229" s="48">
        <f t="shared" si="24"/>
        <v>0</v>
      </c>
      <c r="O229" s="48">
        <f t="shared" si="28"/>
        <v>0</v>
      </c>
      <c r="P229" s="48">
        <f t="shared" si="29"/>
        <v>0</v>
      </c>
      <c r="Q229" s="48">
        <f t="shared" si="30"/>
        <v>0</v>
      </c>
      <c r="R229" s="5" t="s">
        <v>682</v>
      </c>
      <c r="S229" s="5" t="s">
        <v>683</v>
      </c>
      <c r="V229" s="44">
        <f t="shared" si="31"/>
        <v>0</v>
      </c>
    </row>
    <row r="230" spans="1:22" x14ac:dyDescent="0.2">
      <c r="A230" s="53" t="s">
        <v>271</v>
      </c>
      <c r="B230" s="1" t="s">
        <v>272</v>
      </c>
      <c r="C230" s="5" t="s">
        <v>49</v>
      </c>
      <c r="G230" s="47">
        <f t="shared" si="25"/>
        <v>0</v>
      </c>
      <c r="H230" s="47">
        <v>69.900000000000006</v>
      </c>
      <c r="I230" s="16" t="str">
        <f t="shared" si="26"/>
        <v>SEM INFORMAÇÃO DE CUSTOS</v>
      </c>
      <c r="J230" s="5">
        <f t="shared" si="27"/>
        <v>1</v>
      </c>
      <c r="K230" s="5">
        <v>0</v>
      </c>
      <c r="L230" s="5">
        <v>1</v>
      </c>
      <c r="M230" s="5">
        <v>0</v>
      </c>
      <c r="N230" s="48">
        <f t="shared" si="24"/>
        <v>69.900000000000006</v>
      </c>
      <c r="O230" s="48">
        <f t="shared" si="28"/>
        <v>0</v>
      </c>
      <c r="P230" s="48">
        <f t="shared" si="29"/>
        <v>69.900000000000006</v>
      </c>
      <c r="Q230" s="48">
        <f t="shared" si="30"/>
        <v>0</v>
      </c>
      <c r="R230" s="5" t="s">
        <v>682</v>
      </c>
      <c r="S230" s="5" t="s">
        <v>683</v>
      </c>
      <c r="V230" s="44">
        <f t="shared" si="31"/>
        <v>69.900000000000006</v>
      </c>
    </row>
    <row r="231" spans="1:22" x14ac:dyDescent="0.2">
      <c r="A231" s="53" t="s">
        <v>273</v>
      </c>
      <c r="B231" s="1" t="s">
        <v>274</v>
      </c>
      <c r="C231" s="5" t="s">
        <v>49</v>
      </c>
      <c r="G231" s="47">
        <f t="shared" si="25"/>
        <v>0</v>
      </c>
      <c r="H231" s="47">
        <v>69.900000000000006</v>
      </c>
      <c r="I231" s="16" t="str">
        <f t="shared" si="26"/>
        <v>SEM INFORMAÇÃO DE CUSTOS</v>
      </c>
      <c r="J231" s="5">
        <f t="shared" si="27"/>
        <v>2</v>
      </c>
      <c r="K231" s="5">
        <v>0</v>
      </c>
      <c r="L231" s="5">
        <v>2</v>
      </c>
      <c r="M231" s="5">
        <v>0</v>
      </c>
      <c r="N231" s="48">
        <f t="shared" si="24"/>
        <v>139.80000000000001</v>
      </c>
      <c r="O231" s="48">
        <f t="shared" si="28"/>
        <v>0</v>
      </c>
      <c r="P231" s="48">
        <f t="shared" si="29"/>
        <v>139.80000000000001</v>
      </c>
      <c r="Q231" s="48">
        <f t="shared" si="30"/>
        <v>0</v>
      </c>
      <c r="R231" s="5" t="s">
        <v>682</v>
      </c>
      <c r="S231" s="5" t="s">
        <v>683</v>
      </c>
      <c r="V231" s="44">
        <f t="shared" si="31"/>
        <v>139.80000000000001</v>
      </c>
    </row>
    <row r="232" spans="1:22" x14ac:dyDescent="0.2">
      <c r="A232" s="53" t="s">
        <v>275</v>
      </c>
      <c r="B232" s="1" t="s">
        <v>276</v>
      </c>
      <c r="C232" s="5" t="s">
        <v>49</v>
      </c>
      <c r="G232" s="47">
        <f t="shared" si="25"/>
        <v>0</v>
      </c>
      <c r="H232" s="47">
        <v>59.9</v>
      </c>
      <c r="I232" s="16" t="str">
        <f t="shared" si="26"/>
        <v>SEM INFORMAÇÃO DE CUSTOS</v>
      </c>
      <c r="J232" s="5">
        <f t="shared" si="27"/>
        <v>1</v>
      </c>
      <c r="K232" s="5">
        <v>0</v>
      </c>
      <c r="L232" s="5">
        <v>1</v>
      </c>
      <c r="M232" s="5">
        <v>0</v>
      </c>
      <c r="N232" s="48">
        <f t="shared" si="24"/>
        <v>59.9</v>
      </c>
      <c r="O232" s="48">
        <f t="shared" si="28"/>
        <v>0</v>
      </c>
      <c r="P232" s="48">
        <f t="shared" si="29"/>
        <v>59.9</v>
      </c>
      <c r="Q232" s="48">
        <f t="shared" si="30"/>
        <v>0</v>
      </c>
      <c r="R232" s="5" t="s">
        <v>682</v>
      </c>
      <c r="S232" s="5" t="s">
        <v>683</v>
      </c>
      <c r="V232" s="44">
        <f t="shared" si="31"/>
        <v>59.9</v>
      </c>
    </row>
    <row r="233" spans="1:22" x14ac:dyDescent="0.2">
      <c r="A233" s="53" t="s">
        <v>277</v>
      </c>
      <c r="B233" s="1" t="s">
        <v>278</v>
      </c>
      <c r="C233" s="5" t="s">
        <v>49</v>
      </c>
      <c r="G233" s="47">
        <f t="shared" si="25"/>
        <v>0</v>
      </c>
      <c r="H233" s="47">
        <v>54.9</v>
      </c>
      <c r="I233" s="16" t="str">
        <f t="shared" si="26"/>
        <v>SEM INFORMAÇÃO DE CUSTOS</v>
      </c>
      <c r="J233" s="5">
        <f t="shared" si="27"/>
        <v>2</v>
      </c>
      <c r="K233" s="5">
        <v>0</v>
      </c>
      <c r="L233" s="5">
        <v>2</v>
      </c>
      <c r="M233" s="5">
        <v>0</v>
      </c>
      <c r="N233" s="48">
        <f t="shared" si="24"/>
        <v>109.8</v>
      </c>
      <c r="O233" s="48">
        <f t="shared" si="28"/>
        <v>0</v>
      </c>
      <c r="P233" s="48">
        <f t="shared" si="29"/>
        <v>109.8</v>
      </c>
      <c r="Q233" s="48">
        <f t="shared" si="30"/>
        <v>0</v>
      </c>
      <c r="R233" s="5" t="s">
        <v>682</v>
      </c>
      <c r="S233" s="5" t="s">
        <v>683</v>
      </c>
      <c r="V233" s="44">
        <f t="shared" si="31"/>
        <v>109.8</v>
      </c>
    </row>
    <row r="234" spans="1:22" x14ac:dyDescent="0.2">
      <c r="A234" s="53" t="s">
        <v>279</v>
      </c>
      <c r="B234" s="1" t="s">
        <v>280</v>
      </c>
      <c r="C234" s="5" t="s">
        <v>49</v>
      </c>
      <c r="G234" s="47">
        <f t="shared" si="25"/>
        <v>0</v>
      </c>
      <c r="H234" s="47">
        <v>29.9</v>
      </c>
      <c r="I234" s="16" t="str">
        <f t="shared" si="26"/>
        <v>SEM INFORMAÇÃO DE CUSTOS</v>
      </c>
      <c r="J234" s="5">
        <f t="shared" si="27"/>
        <v>1</v>
      </c>
      <c r="K234" s="5">
        <v>0</v>
      </c>
      <c r="L234" s="5">
        <v>1</v>
      </c>
      <c r="M234" s="5">
        <v>0</v>
      </c>
      <c r="N234" s="48">
        <f t="shared" si="24"/>
        <v>29.9</v>
      </c>
      <c r="O234" s="48">
        <f t="shared" si="28"/>
        <v>0</v>
      </c>
      <c r="P234" s="48">
        <f t="shared" si="29"/>
        <v>29.9</v>
      </c>
      <c r="Q234" s="48">
        <f t="shared" si="30"/>
        <v>0</v>
      </c>
      <c r="R234" s="5" t="s">
        <v>682</v>
      </c>
      <c r="S234" s="5" t="s">
        <v>683</v>
      </c>
      <c r="V234" s="44">
        <f t="shared" si="31"/>
        <v>29.9</v>
      </c>
    </row>
    <row r="235" spans="1:22" x14ac:dyDescent="0.2">
      <c r="A235" s="53" t="s">
        <v>281</v>
      </c>
      <c r="B235" s="1" t="s">
        <v>282</v>
      </c>
      <c r="C235" s="5" t="s">
        <v>49</v>
      </c>
      <c r="G235" s="47">
        <f t="shared" si="25"/>
        <v>0</v>
      </c>
      <c r="H235" s="47">
        <v>59.9</v>
      </c>
      <c r="I235" s="16" t="str">
        <f t="shared" si="26"/>
        <v>SEM INFORMAÇÃO DE CUSTOS</v>
      </c>
      <c r="J235" s="5">
        <f t="shared" si="27"/>
        <v>0</v>
      </c>
      <c r="K235" s="5">
        <v>0</v>
      </c>
      <c r="L235" s="5">
        <v>0</v>
      </c>
      <c r="M235" s="5">
        <v>0</v>
      </c>
      <c r="N235" s="48">
        <f t="shared" si="24"/>
        <v>0</v>
      </c>
      <c r="O235" s="48">
        <f t="shared" si="28"/>
        <v>0</v>
      </c>
      <c r="P235" s="48">
        <f t="shared" si="29"/>
        <v>0</v>
      </c>
      <c r="Q235" s="48">
        <f t="shared" si="30"/>
        <v>0</v>
      </c>
      <c r="R235" s="5" t="s">
        <v>682</v>
      </c>
      <c r="S235" s="5" t="s">
        <v>683</v>
      </c>
      <c r="V235" s="44">
        <f t="shared" si="31"/>
        <v>0</v>
      </c>
    </row>
    <row r="236" spans="1:22" x14ac:dyDescent="0.2">
      <c r="A236" s="53" t="s">
        <v>283</v>
      </c>
      <c r="B236" s="1" t="s">
        <v>284</v>
      </c>
      <c r="C236" s="5" t="s">
        <v>49</v>
      </c>
      <c r="E236" s="47">
        <v>3.35</v>
      </c>
      <c r="F236" s="47">
        <v>3.27</v>
      </c>
      <c r="G236" s="47">
        <f t="shared" si="25"/>
        <v>6.62</v>
      </c>
      <c r="H236" s="47">
        <v>79.900000000000006</v>
      </c>
      <c r="I236" s="16">
        <f t="shared" si="26"/>
        <v>12.069486404833837</v>
      </c>
      <c r="J236" s="5">
        <f t="shared" si="27"/>
        <v>4</v>
      </c>
      <c r="K236" s="5">
        <v>0</v>
      </c>
      <c r="L236" s="5">
        <v>4</v>
      </c>
      <c r="M236" s="5">
        <v>0</v>
      </c>
      <c r="N236" s="48">
        <f t="shared" si="24"/>
        <v>319.60000000000002</v>
      </c>
      <c r="O236" s="48">
        <f t="shared" si="28"/>
        <v>0</v>
      </c>
      <c r="P236" s="48">
        <f t="shared" si="29"/>
        <v>319.60000000000002</v>
      </c>
      <c r="Q236" s="48">
        <f t="shared" si="30"/>
        <v>26.48</v>
      </c>
      <c r="R236" s="5" t="s">
        <v>682</v>
      </c>
      <c r="S236" s="5" t="s">
        <v>683</v>
      </c>
      <c r="V236" s="44">
        <f t="shared" si="31"/>
        <v>319.60000000000002</v>
      </c>
    </row>
    <row r="237" spans="1:22" x14ac:dyDescent="0.2">
      <c r="A237" s="53" t="s">
        <v>285</v>
      </c>
      <c r="B237" s="1" t="s">
        <v>286</v>
      </c>
      <c r="C237" s="5" t="s">
        <v>49</v>
      </c>
      <c r="E237" s="47">
        <v>16.25</v>
      </c>
      <c r="F237" s="47">
        <v>10.42</v>
      </c>
      <c r="G237" s="47">
        <f t="shared" si="25"/>
        <v>26.67</v>
      </c>
      <c r="H237" s="47">
        <v>159.9</v>
      </c>
      <c r="I237" s="16">
        <f t="shared" si="26"/>
        <v>5.9955005624296964</v>
      </c>
      <c r="J237" s="5">
        <f t="shared" si="27"/>
        <v>5</v>
      </c>
      <c r="K237" s="5">
        <v>1</v>
      </c>
      <c r="L237" s="5">
        <v>4</v>
      </c>
      <c r="M237" s="5">
        <v>0</v>
      </c>
      <c r="N237" s="48">
        <f t="shared" si="24"/>
        <v>639.6</v>
      </c>
      <c r="O237" s="48">
        <f t="shared" si="28"/>
        <v>159.9</v>
      </c>
      <c r="P237" s="48">
        <f t="shared" si="29"/>
        <v>799.5</v>
      </c>
      <c r="Q237" s="48">
        <f t="shared" si="30"/>
        <v>133.35000000000002</v>
      </c>
      <c r="R237" s="5" t="s">
        <v>682</v>
      </c>
      <c r="S237" s="5" t="s">
        <v>683</v>
      </c>
      <c r="V237" s="44">
        <f t="shared" si="31"/>
        <v>639.6</v>
      </c>
    </row>
    <row r="238" spans="1:22" x14ac:dyDescent="0.2">
      <c r="A238" s="53" t="s">
        <v>287</v>
      </c>
      <c r="B238" s="1" t="s">
        <v>288</v>
      </c>
      <c r="C238" s="5" t="s">
        <v>49</v>
      </c>
      <c r="E238" s="47">
        <v>12.95</v>
      </c>
      <c r="F238" s="47">
        <v>8.33</v>
      </c>
      <c r="G238" s="47">
        <f t="shared" si="25"/>
        <v>21.28</v>
      </c>
      <c r="H238" s="47">
        <v>139.9</v>
      </c>
      <c r="I238" s="16">
        <f t="shared" si="26"/>
        <v>6.5742481203007515</v>
      </c>
      <c r="J238" s="5">
        <f t="shared" si="27"/>
        <v>4</v>
      </c>
      <c r="K238" s="5">
        <v>0</v>
      </c>
      <c r="L238" s="5">
        <v>4</v>
      </c>
      <c r="M238" s="5">
        <v>0</v>
      </c>
      <c r="N238" s="48">
        <f t="shared" si="24"/>
        <v>559.6</v>
      </c>
      <c r="O238" s="48">
        <f t="shared" si="28"/>
        <v>0</v>
      </c>
      <c r="P238" s="48">
        <f t="shared" si="29"/>
        <v>559.6</v>
      </c>
      <c r="Q238" s="48">
        <f t="shared" si="30"/>
        <v>85.12</v>
      </c>
      <c r="R238" s="5" t="s">
        <v>682</v>
      </c>
      <c r="S238" s="5" t="s">
        <v>683</v>
      </c>
      <c r="V238" s="44">
        <f t="shared" si="31"/>
        <v>559.6</v>
      </c>
    </row>
    <row r="239" spans="1:22" x14ac:dyDescent="0.2">
      <c r="A239" s="53" t="s">
        <v>289</v>
      </c>
      <c r="B239" s="1" t="s">
        <v>290</v>
      </c>
      <c r="C239" s="5" t="s">
        <v>49</v>
      </c>
      <c r="G239" s="47">
        <f t="shared" si="25"/>
        <v>0</v>
      </c>
      <c r="H239" s="47">
        <v>84.9</v>
      </c>
      <c r="I239" s="16" t="str">
        <f t="shared" si="26"/>
        <v>SEM INFORMAÇÃO DE CUSTOS</v>
      </c>
      <c r="J239" s="5">
        <f t="shared" si="27"/>
        <v>2</v>
      </c>
      <c r="K239" s="5">
        <v>1</v>
      </c>
      <c r="L239" s="5">
        <v>1</v>
      </c>
      <c r="M239" s="5">
        <v>0</v>
      </c>
      <c r="N239" s="48">
        <f t="shared" si="24"/>
        <v>84.9</v>
      </c>
      <c r="O239" s="48">
        <f t="shared" si="28"/>
        <v>84.9</v>
      </c>
      <c r="P239" s="48">
        <f t="shared" si="29"/>
        <v>169.8</v>
      </c>
      <c r="Q239" s="48">
        <f t="shared" si="30"/>
        <v>0</v>
      </c>
      <c r="R239" s="5" t="s">
        <v>682</v>
      </c>
      <c r="S239" s="5" t="s">
        <v>683</v>
      </c>
      <c r="V239" s="44">
        <f t="shared" si="31"/>
        <v>84.9</v>
      </c>
    </row>
    <row r="240" spans="1:22" x14ac:dyDescent="0.2">
      <c r="A240" s="53" t="s">
        <v>291</v>
      </c>
      <c r="B240" s="1" t="s">
        <v>292</v>
      </c>
      <c r="C240" s="5" t="s">
        <v>49</v>
      </c>
      <c r="E240" s="47">
        <v>2.2000000000000002</v>
      </c>
      <c r="F240" s="47">
        <v>5.95</v>
      </c>
      <c r="G240" s="47">
        <f t="shared" si="25"/>
        <v>8.15</v>
      </c>
      <c r="H240" s="47">
        <v>69.900000000000006</v>
      </c>
      <c r="I240" s="16">
        <f t="shared" si="26"/>
        <v>8.5766871165644183</v>
      </c>
      <c r="J240" s="5">
        <f t="shared" si="27"/>
        <v>2</v>
      </c>
      <c r="K240" s="5">
        <v>0</v>
      </c>
      <c r="L240" s="5">
        <v>2</v>
      </c>
      <c r="M240" s="5">
        <v>0</v>
      </c>
      <c r="N240" s="48">
        <f t="shared" si="24"/>
        <v>139.80000000000001</v>
      </c>
      <c r="O240" s="48">
        <f t="shared" si="28"/>
        <v>0</v>
      </c>
      <c r="P240" s="48">
        <f t="shared" si="29"/>
        <v>139.80000000000001</v>
      </c>
      <c r="Q240" s="48">
        <f t="shared" si="30"/>
        <v>16.3</v>
      </c>
      <c r="R240" s="5" t="s">
        <v>682</v>
      </c>
      <c r="S240" s="5" t="s">
        <v>683</v>
      </c>
      <c r="V240" s="44">
        <f t="shared" si="31"/>
        <v>139.80000000000001</v>
      </c>
    </row>
    <row r="241" spans="1:22" x14ac:dyDescent="0.2">
      <c r="A241" s="53" t="s">
        <v>293</v>
      </c>
      <c r="B241" s="1" t="s">
        <v>294</v>
      </c>
      <c r="C241" s="5" t="s">
        <v>49</v>
      </c>
      <c r="G241" s="47">
        <f t="shared" si="25"/>
        <v>0</v>
      </c>
      <c r="H241" s="47">
        <v>81.900000000000006</v>
      </c>
      <c r="I241" s="16" t="str">
        <f t="shared" si="26"/>
        <v>SEM INFORMAÇÃO DE CUSTOS</v>
      </c>
      <c r="J241" s="5">
        <f t="shared" si="27"/>
        <v>1</v>
      </c>
      <c r="K241" s="5">
        <v>0</v>
      </c>
      <c r="L241" s="5">
        <v>1</v>
      </c>
      <c r="M241" s="5">
        <v>0</v>
      </c>
      <c r="N241" s="48">
        <f t="shared" si="24"/>
        <v>81.900000000000006</v>
      </c>
      <c r="O241" s="48">
        <f t="shared" si="28"/>
        <v>0</v>
      </c>
      <c r="P241" s="48">
        <f t="shared" si="29"/>
        <v>81.900000000000006</v>
      </c>
      <c r="Q241" s="48">
        <f t="shared" si="30"/>
        <v>0</v>
      </c>
      <c r="R241" s="5" t="s">
        <v>682</v>
      </c>
      <c r="S241" s="5" t="s">
        <v>683</v>
      </c>
      <c r="V241" s="44">
        <f t="shared" si="31"/>
        <v>81.900000000000006</v>
      </c>
    </row>
    <row r="242" spans="1:22" x14ac:dyDescent="0.2">
      <c r="A242" s="53" t="s">
        <v>295</v>
      </c>
      <c r="B242" s="1" t="s">
        <v>296</v>
      </c>
      <c r="C242" s="5" t="s">
        <v>49</v>
      </c>
      <c r="E242" s="47">
        <v>16.25</v>
      </c>
      <c r="F242" s="47">
        <v>11.61</v>
      </c>
      <c r="G242" s="47">
        <f t="shared" si="25"/>
        <v>27.86</v>
      </c>
      <c r="H242" s="47">
        <v>149.9</v>
      </c>
      <c r="I242" s="16">
        <f t="shared" si="26"/>
        <v>5.3804737975592252</v>
      </c>
      <c r="J242" s="5">
        <f t="shared" si="27"/>
        <v>5</v>
      </c>
      <c r="K242" s="5">
        <v>0</v>
      </c>
      <c r="L242" s="5">
        <v>5</v>
      </c>
      <c r="M242" s="5">
        <v>0</v>
      </c>
      <c r="N242" s="48">
        <f t="shared" si="24"/>
        <v>749.5</v>
      </c>
      <c r="O242" s="48">
        <f t="shared" si="28"/>
        <v>0</v>
      </c>
      <c r="P242" s="48">
        <f t="shared" si="29"/>
        <v>749.5</v>
      </c>
      <c r="Q242" s="48">
        <f t="shared" si="30"/>
        <v>139.30000000000001</v>
      </c>
      <c r="R242" s="5" t="s">
        <v>682</v>
      </c>
      <c r="S242" s="5" t="s">
        <v>683</v>
      </c>
      <c r="V242" s="44">
        <f t="shared" si="31"/>
        <v>749.5</v>
      </c>
    </row>
    <row r="243" spans="1:22" x14ac:dyDescent="0.2">
      <c r="A243" s="53" t="s">
        <v>297</v>
      </c>
      <c r="B243" s="1" t="s">
        <v>298</v>
      </c>
      <c r="C243" s="5" t="s">
        <v>49</v>
      </c>
      <c r="E243" s="47">
        <v>11.31</v>
      </c>
      <c r="F243" s="47">
        <v>11.95</v>
      </c>
      <c r="G243" s="47">
        <f t="shared" si="25"/>
        <v>23.259999999999998</v>
      </c>
      <c r="H243" s="47">
        <v>139.9</v>
      </c>
      <c r="I243" s="16">
        <f t="shared" si="26"/>
        <v>6.0146173688736031</v>
      </c>
      <c r="J243" s="5">
        <f t="shared" si="27"/>
        <v>5</v>
      </c>
      <c r="K243" s="5">
        <v>0</v>
      </c>
      <c r="L243" s="5">
        <v>5</v>
      </c>
      <c r="M243" s="5">
        <v>0</v>
      </c>
      <c r="N243" s="48">
        <f t="shared" si="24"/>
        <v>699.5</v>
      </c>
      <c r="O243" s="48">
        <f t="shared" si="28"/>
        <v>0</v>
      </c>
      <c r="P243" s="48">
        <f t="shared" si="29"/>
        <v>699.5</v>
      </c>
      <c r="Q243" s="48">
        <f t="shared" si="30"/>
        <v>116.29999999999998</v>
      </c>
      <c r="R243" s="5" t="s">
        <v>682</v>
      </c>
      <c r="S243" s="5" t="s">
        <v>683</v>
      </c>
      <c r="V243" s="44">
        <f t="shared" si="31"/>
        <v>699.5</v>
      </c>
    </row>
    <row r="244" spans="1:22" x14ac:dyDescent="0.2">
      <c r="A244" s="53" t="s">
        <v>299</v>
      </c>
      <c r="B244" s="1" t="s">
        <v>300</v>
      </c>
      <c r="C244" s="5" t="s">
        <v>49</v>
      </c>
      <c r="E244" s="47">
        <v>8.33</v>
      </c>
      <c r="G244" s="47">
        <f t="shared" si="25"/>
        <v>8.33</v>
      </c>
      <c r="H244" s="47">
        <v>79.900000000000006</v>
      </c>
      <c r="I244" s="16">
        <f t="shared" si="26"/>
        <v>9.591836734693878</v>
      </c>
      <c r="J244" s="5">
        <f t="shared" si="27"/>
        <v>4</v>
      </c>
      <c r="K244" s="5">
        <v>0</v>
      </c>
      <c r="L244" s="5">
        <v>4</v>
      </c>
      <c r="M244" s="5">
        <v>0</v>
      </c>
      <c r="N244" s="48">
        <f t="shared" si="24"/>
        <v>319.60000000000002</v>
      </c>
      <c r="O244" s="48">
        <f t="shared" si="28"/>
        <v>0</v>
      </c>
      <c r="P244" s="48">
        <f t="shared" si="29"/>
        <v>319.60000000000002</v>
      </c>
      <c r="Q244" s="48">
        <f t="shared" si="30"/>
        <v>33.32</v>
      </c>
      <c r="R244" s="5" t="s">
        <v>682</v>
      </c>
      <c r="S244" s="5" t="s">
        <v>683</v>
      </c>
      <c r="V244" s="44">
        <f t="shared" si="31"/>
        <v>319.60000000000002</v>
      </c>
    </row>
    <row r="245" spans="1:22" x14ac:dyDescent="0.2">
      <c r="A245" s="53" t="s">
        <v>301</v>
      </c>
      <c r="B245" s="1" t="s">
        <v>302</v>
      </c>
      <c r="C245" s="5" t="s">
        <v>49</v>
      </c>
      <c r="E245" s="47">
        <v>3.9</v>
      </c>
      <c r="F245" s="47">
        <v>18.75</v>
      </c>
      <c r="G245" s="47">
        <f t="shared" si="25"/>
        <v>22.65</v>
      </c>
      <c r="H245" s="47">
        <v>137.9</v>
      </c>
      <c r="I245" s="16">
        <f t="shared" si="26"/>
        <v>6.0883002207505523</v>
      </c>
      <c r="J245" s="5">
        <f t="shared" si="27"/>
        <v>3</v>
      </c>
      <c r="K245" s="5">
        <v>1</v>
      </c>
      <c r="L245" s="5">
        <v>2</v>
      </c>
      <c r="M245" s="5">
        <v>0</v>
      </c>
      <c r="N245" s="48">
        <f t="shared" si="24"/>
        <v>275.8</v>
      </c>
      <c r="O245" s="48">
        <f t="shared" si="28"/>
        <v>137.9</v>
      </c>
      <c r="P245" s="48">
        <f t="shared" si="29"/>
        <v>413.70000000000005</v>
      </c>
      <c r="Q245" s="48">
        <f t="shared" si="30"/>
        <v>67.949999999999989</v>
      </c>
      <c r="R245" s="5" t="s">
        <v>682</v>
      </c>
      <c r="S245" s="5" t="s">
        <v>683</v>
      </c>
      <c r="V245" s="44">
        <f t="shared" si="31"/>
        <v>275.8</v>
      </c>
    </row>
    <row r="246" spans="1:22" x14ac:dyDescent="0.2">
      <c r="A246" s="53" t="s">
        <v>303</v>
      </c>
      <c r="B246" s="1" t="s">
        <v>304</v>
      </c>
      <c r="C246" s="5" t="s">
        <v>49</v>
      </c>
      <c r="E246" s="47">
        <v>3.6</v>
      </c>
      <c r="F246" s="47">
        <v>9.23</v>
      </c>
      <c r="G246" s="47">
        <f t="shared" si="25"/>
        <v>12.83</v>
      </c>
      <c r="H246" s="47">
        <v>83.9</v>
      </c>
      <c r="I246" s="16">
        <f t="shared" si="26"/>
        <v>6.5393608729540142</v>
      </c>
      <c r="J246" s="5">
        <f t="shared" si="27"/>
        <v>3</v>
      </c>
      <c r="K246" s="5">
        <v>0</v>
      </c>
      <c r="L246" s="5">
        <v>3</v>
      </c>
      <c r="M246" s="5">
        <v>0</v>
      </c>
      <c r="N246" s="48">
        <f t="shared" si="24"/>
        <v>251.70000000000002</v>
      </c>
      <c r="O246" s="48">
        <f t="shared" si="28"/>
        <v>0</v>
      </c>
      <c r="P246" s="48">
        <f t="shared" si="29"/>
        <v>251.70000000000002</v>
      </c>
      <c r="Q246" s="48">
        <f t="shared" si="30"/>
        <v>38.49</v>
      </c>
      <c r="R246" s="5" t="s">
        <v>682</v>
      </c>
      <c r="S246" s="5" t="s">
        <v>683</v>
      </c>
      <c r="V246" s="44">
        <f t="shared" si="31"/>
        <v>251.70000000000002</v>
      </c>
    </row>
    <row r="247" spans="1:22" x14ac:dyDescent="0.2">
      <c r="A247" s="53" t="s">
        <v>305</v>
      </c>
      <c r="B247" s="1" t="s">
        <v>306</v>
      </c>
      <c r="C247" s="5" t="s">
        <v>49</v>
      </c>
      <c r="E247" s="47">
        <v>4.95</v>
      </c>
      <c r="F247" s="47">
        <v>8.33</v>
      </c>
      <c r="G247" s="47">
        <f t="shared" si="25"/>
        <v>13.280000000000001</v>
      </c>
      <c r="H247" s="47">
        <v>81.900000000000006</v>
      </c>
      <c r="I247" s="16">
        <f t="shared" si="26"/>
        <v>6.1671686746987948</v>
      </c>
      <c r="J247" s="5">
        <f t="shared" si="27"/>
        <v>5</v>
      </c>
      <c r="K247" s="5">
        <v>0</v>
      </c>
      <c r="L247" s="5">
        <v>5</v>
      </c>
      <c r="M247" s="5">
        <v>0</v>
      </c>
      <c r="N247" s="48">
        <f t="shared" si="24"/>
        <v>409.5</v>
      </c>
      <c r="O247" s="48">
        <f t="shared" si="28"/>
        <v>0</v>
      </c>
      <c r="P247" s="48">
        <f t="shared" si="29"/>
        <v>409.5</v>
      </c>
      <c r="Q247" s="48">
        <f t="shared" si="30"/>
        <v>66.400000000000006</v>
      </c>
      <c r="R247" s="5" t="s">
        <v>682</v>
      </c>
      <c r="S247" s="5" t="s">
        <v>683</v>
      </c>
      <c r="V247" s="44">
        <f t="shared" si="31"/>
        <v>409.5</v>
      </c>
    </row>
    <row r="248" spans="1:22" x14ac:dyDescent="0.2">
      <c r="A248" s="53" t="s">
        <v>307</v>
      </c>
      <c r="B248" s="1" t="s">
        <v>308</v>
      </c>
      <c r="C248" s="5" t="s">
        <v>49</v>
      </c>
      <c r="E248" s="47">
        <v>2.5</v>
      </c>
      <c r="F248" s="47">
        <v>6.85</v>
      </c>
      <c r="G248" s="47">
        <f t="shared" si="25"/>
        <v>9.35</v>
      </c>
      <c r="H248" s="47">
        <v>77.5</v>
      </c>
      <c r="I248" s="16">
        <f t="shared" si="26"/>
        <v>8.2887700534759361</v>
      </c>
      <c r="J248" s="5">
        <f t="shared" si="27"/>
        <v>5</v>
      </c>
      <c r="K248" s="5">
        <v>0</v>
      </c>
      <c r="L248" s="5">
        <v>5</v>
      </c>
      <c r="M248" s="5">
        <v>0</v>
      </c>
      <c r="N248" s="48">
        <f t="shared" si="24"/>
        <v>387.5</v>
      </c>
      <c r="O248" s="48">
        <f t="shared" si="28"/>
        <v>0</v>
      </c>
      <c r="P248" s="48">
        <f t="shared" si="29"/>
        <v>387.5</v>
      </c>
      <c r="Q248" s="48">
        <f t="shared" si="30"/>
        <v>46.75</v>
      </c>
      <c r="R248" s="5" t="s">
        <v>682</v>
      </c>
      <c r="S248" s="5" t="s">
        <v>683</v>
      </c>
      <c r="V248" s="44">
        <f t="shared" si="31"/>
        <v>387.5</v>
      </c>
    </row>
    <row r="249" spans="1:22" x14ac:dyDescent="0.2">
      <c r="A249" s="53" t="s">
        <v>309</v>
      </c>
      <c r="B249" s="1" t="s">
        <v>310</v>
      </c>
      <c r="C249" s="5" t="s">
        <v>49</v>
      </c>
      <c r="G249" s="47">
        <f t="shared" si="25"/>
        <v>0</v>
      </c>
      <c r="H249" s="47">
        <v>79.900000000000006</v>
      </c>
      <c r="I249" s="16" t="str">
        <f t="shared" si="26"/>
        <v>SEM INFORMAÇÃO DE CUSTOS</v>
      </c>
      <c r="J249" s="5">
        <f t="shared" si="27"/>
        <v>0</v>
      </c>
      <c r="K249" s="5">
        <v>0</v>
      </c>
      <c r="L249" s="5">
        <v>0</v>
      </c>
      <c r="M249" s="5">
        <v>0</v>
      </c>
      <c r="N249" s="48">
        <f t="shared" si="24"/>
        <v>0</v>
      </c>
      <c r="O249" s="48">
        <f t="shared" si="28"/>
        <v>0</v>
      </c>
      <c r="P249" s="48">
        <f t="shared" si="29"/>
        <v>0</v>
      </c>
      <c r="Q249" s="48">
        <f t="shared" si="30"/>
        <v>0</v>
      </c>
      <c r="R249" s="5" t="s">
        <v>682</v>
      </c>
      <c r="S249" s="5" t="s">
        <v>683</v>
      </c>
      <c r="V249" s="44">
        <f t="shared" si="31"/>
        <v>0</v>
      </c>
    </row>
    <row r="250" spans="1:22" x14ac:dyDescent="0.2">
      <c r="A250" s="53" t="s">
        <v>311</v>
      </c>
      <c r="B250" s="1" t="s">
        <v>312</v>
      </c>
      <c r="C250" s="5" t="s">
        <v>49</v>
      </c>
      <c r="E250" s="47">
        <v>2.25</v>
      </c>
      <c r="F250" s="47">
        <v>5.36</v>
      </c>
      <c r="G250" s="47">
        <f t="shared" si="25"/>
        <v>7.61</v>
      </c>
      <c r="H250" s="47">
        <v>74.900000000000006</v>
      </c>
      <c r="I250" s="16">
        <f t="shared" si="26"/>
        <v>9.8423127463863338</v>
      </c>
      <c r="J250" s="5">
        <f t="shared" si="27"/>
        <v>4</v>
      </c>
      <c r="K250" s="5">
        <v>1</v>
      </c>
      <c r="L250" s="5">
        <v>3</v>
      </c>
      <c r="M250" s="5">
        <v>0</v>
      </c>
      <c r="N250" s="48">
        <f t="shared" si="24"/>
        <v>224.70000000000002</v>
      </c>
      <c r="O250" s="48">
        <f t="shared" si="28"/>
        <v>74.900000000000006</v>
      </c>
      <c r="P250" s="48">
        <f t="shared" si="29"/>
        <v>299.60000000000002</v>
      </c>
      <c r="Q250" s="48">
        <f t="shared" si="30"/>
        <v>30.44</v>
      </c>
      <c r="R250" s="5" t="s">
        <v>682</v>
      </c>
      <c r="S250" s="5" t="s">
        <v>683</v>
      </c>
      <c r="V250" s="44">
        <f t="shared" si="31"/>
        <v>224.70000000000002</v>
      </c>
    </row>
    <row r="251" spans="1:22" x14ac:dyDescent="0.2">
      <c r="A251" s="53" t="s">
        <v>313</v>
      </c>
      <c r="B251" s="1" t="s">
        <v>314</v>
      </c>
      <c r="C251" s="5" t="s">
        <v>49</v>
      </c>
      <c r="E251" s="47">
        <v>4.5</v>
      </c>
      <c r="F251" s="47">
        <v>5.0599999999999996</v>
      </c>
      <c r="G251" s="47">
        <f t="shared" si="25"/>
        <v>9.5599999999999987</v>
      </c>
      <c r="H251" s="47">
        <v>74.900000000000006</v>
      </c>
      <c r="I251" s="16">
        <f t="shared" si="26"/>
        <v>7.8347280334728051</v>
      </c>
      <c r="J251" s="5">
        <f t="shared" si="27"/>
        <v>4</v>
      </c>
      <c r="K251" s="5">
        <v>0</v>
      </c>
      <c r="L251" s="5">
        <v>4</v>
      </c>
      <c r="M251" s="5">
        <v>0</v>
      </c>
      <c r="N251" s="48">
        <f t="shared" si="24"/>
        <v>299.60000000000002</v>
      </c>
      <c r="O251" s="48">
        <f t="shared" si="28"/>
        <v>0</v>
      </c>
      <c r="P251" s="48">
        <f t="shared" si="29"/>
        <v>299.60000000000002</v>
      </c>
      <c r="Q251" s="48">
        <f t="shared" si="30"/>
        <v>38.239999999999995</v>
      </c>
      <c r="R251" s="5" t="s">
        <v>682</v>
      </c>
      <c r="S251" s="5" t="s">
        <v>683</v>
      </c>
      <c r="V251" s="44">
        <f t="shared" si="31"/>
        <v>299.60000000000002</v>
      </c>
    </row>
    <row r="252" spans="1:22" x14ac:dyDescent="0.2">
      <c r="A252" s="53" t="s">
        <v>315</v>
      </c>
      <c r="B252" s="1" t="s">
        <v>316</v>
      </c>
      <c r="C252" s="5" t="s">
        <v>49</v>
      </c>
      <c r="E252" s="47">
        <v>2.5</v>
      </c>
      <c r="F252" s="47">
        <v>3.57</v>
      </c>
      <c r="G252" s="47">
        <f t="shared" si="25"/>
        <v>6.07</v>
      </c>
      <c r="H252" s="47">
        <v>59.9</v>
      </c>
      <c r="I252" s="16">
        <f t="shared" si="26"/>
        <v>9.8682042833607895</v>
      </c>
      <c r="J252" s="5">
        <f t="shared" si="27"/>
        <v>4</v>
      </c>
      <c r="K252" s="5">
        <v>0</v>
      </c>
      <c r="L252" s="5">
        <v>4</v>
      </c>
      <c r="M252" s="5">
        <v>0</v>
      </c>
      <c r="N252" s="48">
        <f t="shared" si="24"/>
        <v>239.6</v>
      </c>
      <c r="O252" s="48">
        <f t="shared" si="28"/>
        <v>0</v>
      </c>
      <c r="P252" s="48">
        <f t="shared" si="29"/>
        <v>239.6</v>
      </c>
      <c r="Q252" s="48">
        <f t="shared" si="30"/>
        <v>24.28</v>
      </c>
      <c r="R252" s="5" t="s">
        <v>682</v>
      </c>
      <c r="S252" s="5" t="s">
        <v>683</v>
      </c>
      <c r="V252" s="44">
        <f t="shared" si="31"/>
        <v>239.6</v>
      </c>
    </row>
    <row r="253" spans="1:22" x14ac:dyDescent="0.2">
      <c r="A253" s="53" t="s">
        <v>317</v>
      </c>
      <c r="B253" s="1" t="s">
        <v>318</v>
      </c>
      <c r="C253" s="5" t="s">
        <v>49</v>
      </c>
      <c r="E253" s="47">
        <v>2.9</v>
      </c>
      <c r="F253" s="47">
        <v>9.23</v>
      </c>
      <c r="G253" s="47">
        <f t="shared" si="25"/>
        <v>12.13</v>
      </c>
      <c r="H253" s="47">
        <v>101.9</v>
      </c>
      <c r="I253" s="16">
        <f t="shared" si="26"/>
        <v>8.4006595218466611</v>
      </c>
      <c r="J253" s="5">
        <f t="shared" si="27"/>
        <v>4</v>
      </c>
      <c r="K253" s="5">
        <v>0</v>
      </c>
      <c r="L253" s="5">
        <v>4</v>
      </c>
      <c r="M253" s="5">
        <v>0</v>
      </c>
      <c r="N253" s="48">
        <f t="shared" si="24"/>
        <v>407.6</v>
      </c>
      <c r="O253" s="48">
        <f t="shared" si="28"/>
        <v>0</v>
      </c>
      <c r="P253" s="48">
        <f t="shared" si="29"/>
        <v>407.6</v>
      </c>
      <c r="Q253" s="48">
        <f t="shared" si="30"/>
        <v>48.52</v>
      </c>
      <c r="R253" s="5" t="s">
        <v>682</v>
      </c>
      <c r="S253" s="5" t="s">
        <v>683</v>
      </c>
      <c r="V253" s="44">
        <f t="shared" si="31"/>
        <v>407.6</v>
      </c>
    </row>
    <row r="254" spans="1:22" x14ac:dyDescent="0.2">
      <c r="A254" s="53" t="s">
        <v>319</v>
      </c>
      <c r="B254" s="1" t="s">
        <v>320</v>
      </c>
      <c r="C254" s="5" t="s">
        <v>49</v>
      </c>
      <c r="E254" s="47">
        <v>4.95</v>
      </c>
      <c r="F254" s="47">
        <v>8.93</v>
      </c>
      <c r="G254" s="47">
        <f t="shared" si="25"/>
        <v>13.879999999999999</v>
      </c>
      <c r="H254" s="47">
        <v>91.9</v>
      </c>
      <c r="I254" s="16">
        <f t="shared" si="26"/>
        <v>6.621037463976946</v>
      </c>
      <c r="J254" s="5">
        <f t="shared" si="27"/>
        <v>4</v>
      </c>
      <c r="K254" s="5">
        <v>0</v>
      </c>
      <c r="L254" s="5">
        <v>4</v>
      </c>
      <c r="M254" s="5">
        <v>0</v>
      </c>
      <c r="N254" s="48">
        <f t="shared" si="24"/>
        <v>367.6</v>
      </c>
      <c r="O254" s="48">
        <f t="shared" si="28"/>
        <v>0</v>
      </c>
      <c r="P254" s="48">
        <f t="shared" si="29"/>
        <v>367.6</v>
      </c>
      <c r="Q254" s="48">
        <f t="shared" si="30"/>
        <v>55.519999999999996</v>
      </c>
      <c r="R254" s="5" t="s">
        <v>682</v>
      </c>
      <c r="S254" s="5" t="s">
        <v>683</v>
      </c>
      <c r="V254" s="44">
        <f t="shared" si="31"/>
        <v>367.6</v>
      </c>
    </row>
    <row r="255" spans="1:22" x14ac:dyDescent="0.2">
      <c r="A255" s="53" t="s">
        <v>321</v>
      </c>
      <c r="B255" s="1" t="s">
        <v>322</v>
      </c>
      <c r="C255" s="5" t="s">
        <v>49</v>
      </c>
      <c r="G255" s="47">
        <f t="shared" si="25"/>
        <v>0</v>
      </c>
      <c r="H255" s="47">
        <v>117.9</v>
      </c>
      <c r="I255" s="16" t="str">
        <f t="shared" si="26"/>
        <v>SEM INFORMAÇÃO DE CUSTOS</v>
      </c>
      <c r="J255" s="5">
        <f t="shared" si="27"/>
        <v>2</v>
      </c>
      <c r="K255" s="5">
        <v>0</v>
      </c>
      <c r="L255" s="5">
        <v>2</v>
      </c>
      <c r="M255" s="5">
        <v>0</v>
      </c>
      <c r="N255" s="48">
        <f t="shared" si="24"/>
        <v>235.8</v>
      </c>
      <c r="O255" s="48">
        <f t="shared" si="28"/>
        <v>0</v>
      </c>
      <c r="P255" s="48">
        <f t="shared" si="29"/>
        <v>235.8</v>
      </c>
      <c r="Q255" s="48">
        <f t="shared" si="30"/>
        <v>0</v>
      </c>
      <c r="R255" s="5" t="s">
        <v>682</v>
      </c>
      <c r="S255" s="5" t="s">
        <v>683</v>
      </c>
      <c r="V255" s="44">
        <f t="shared" si="31"/>
        <v>235.8</v>
      </c>
    </row>
    <row r="256" spans="1:22" x14ac:dyDescent="0.2">
      <c r="A256" s="53" t="s">
        <v>323</v>
      </c>
      <c r="B256" s="1" t="s">
        <v>324</v>
      </c>
      <c r="C256" s="5" t="s">
        <v>49</v>
      </c>
      <c r="G256" s="47">
        <f t="shared" si="25"/>
        <v>0</v>
      </c>
      <c r="H256" s="47">
        <v>97.9</v>
      </c>
      <c r="I256" s="16" t="str">
        <f t="shared" si="26"/>
        <v>SEM INFORMAÇÃO DE CUSTOS</v>
      </c>
      <c r="J256" s="5">
        <f t="shared" si="27"/>
        <v>2</v>
      </c>
      <c r="K256" s="5">
        <v>0</v>
      </c>
      <c r="L256" s="5">
        <v>2</v>
      </c>
      <c r="M256" s="5">
        <v>0</v>
      </c>
      <c r="N256" s="48">
        <f t="shared" si="24"/>
        <v>195.8</v>
      </c>
      <c r="O256" s="48">
        <f t="shared" si="28"/>
        <v>0</v>
      </c>
      <c r="P256" s="48">
        <f t="shared" si="29"/>
        <v>195.8</v>
      </c>
      <c r="Q256" s="48">
        <f t="shared" si="30"/>
        <v>0</v>
      </c>
      <c r="R256" s="5" t="s">
        <v>682</v>
      </c>
      <c r="S256" s="5" t="s">
        <v>683</v>
      </c>
      <c r="V256" s="44">
        <f t="shared" si="31"/>
        <v>195.8</v>
      </c>
    </row>
    <row r="257" spans="1:22" x14ac:dyDescent="0.2">
      <c r="A257" s="53" t="s">
        <v>325</v>
      </c>
      <c r="B257" s="1" t="s">
        <v>326</v>
      </c>
      <c r="C257" s="5" t="s">
        <v>49</v>
      </c>
      <c r="E257" s="47">
        <v>10.7</v>
      </c>
      <c r="G257" s="47">
        <f t="shared" si="25"/>
        <v>10.7</v>
      </c>
      <c r="H257" s="47">
        <v>81.900000000000006</v>
      </c>
      <c r="I257" s="16">
        <f t="shared" si="26"/>
        <v>7.6542056074766363</v>
      </c>
      <c r="J257" s="5">
        <f t="shared" si="27"/>
        <v>5</v>
      </c>
      <c r="K257" s="5">
        <v>0</v>
      </c>
      <c r="L257" s="5">
        <v>5</v>
      </c>
      <c r="M257" s="5">
        <v>0</v>
      </c>
      <c r="N257" s="48">
        <f t="shared" si="24"/>
        <v>409.5</v>
      </c>
      <c r="O257" s="48">
        <f t="shared" si="28"/>
        <v>0</v>
      </c>
      <c r="P257" s="48">
        <f t="shared" si="29"/>
        <v>409.5</v>
      </c>
      <c r="Q257" s="48">
        <f t="shared" si="30"/>
        <v>53.5</v>
      </c>
      <c r="R257" s="5" t="s">
        <v>682</v>
      </c>
      <c r="S257" s="5" t="s">
        <v>683</v>
      </c>
      <c r="V257" s="44">
        <f t="shared" si="31"/>
        <v>409.5</v>
      </c>
    </row>
    <row r="258" spans="1:22" x14ac:dyDescent="0.2">
      <c r="A258" s="53" t="s">
        <v>327</v>
      </c>
      <c r="B258" s="1" t="s">
        <v>328</v>
      </c>
      <c r="C258" s="5" t="s">
        <v>49</v>
      </c>
      <c r="E258" s="47">
        <v>6.45</v>
      </c>
      <c r="F258" s="47">
        <v>13.39</v>
      </c>
      <c r="G258" s="47">
        <f t="shared" si="25"/>
        <v>19.84</v>
      </c>
      <c r="H258" s="47">
        <v>119.9</v>
      </c>
      <c r="I258" s="16">
        <f t="shared" si="26"/>
        <v>6.0433467741935489</v>
      </c>
      <c r="J258" s="5">
        <f t="shared" si="27"/>
        <v>4</v>
      </c>
      <c r="K258" s="5">
        <v>1</v>
      </c>
      <c r="L258" s="5">
        <v>3</v>
      </c>
      <c r="M258" s="5">
        <v>0</v>
      </c>
      <c r="N258" s="48">
        <f t="shared" ref="N258:N321" si="32">L258*H258</f>
        <v>359.70000000000005</v>
      </c>
      <c r="O258" s="48">
        <f t="shared" si="28"/>
        <v>119.9</v>
      </c>
      <c r="P258" s="48">
        <f t="shared" si="29"/>
        <v>479.6</v>
      </c>
      <c r="Q258" s="48">
        <f t="shared" si="30"/>
        <v>79.36</v>
      </c>
      <c r="R258" s="5" t="s">
        <v>682</v>
      </c>
      <c r="S258" s="5" t="s">
        <v>683</v>
      </c>
      <c r="V258" s="44">
        <f t="shared" si="31"/>
        <v>359.70000000000005</v>
      </c>
    </row>
    <row r="259" spans="1:22" x14ac:dyDescent="0.2">
      <c r="A259" s="53" t="s">
        <v>329</v>
      </c>
      <c r="B259" s="1" t="s">
        <v>330</v>
      </c>
      <c r="C259" s="5" t="s">
        <v>49</v>
      </c>
      <c r="E259" s="47">
        <v>1.55</v>
      </c>
      <c r="F259" s="47">
        <v>2.68</v>
      </c>
      <c r="G259" s="47">
        <f t="shared" ref="G259:G322" si="33">SUM(E259:F259)</f>
        <v>4.2300000000000004</v>
      </c>
      <c r="H259" s="47">
        <v>54.9</v>
      </c>
      <c r="I259" s="16">
        <f t="shared" ref="I259:I322" si="34">IFERROR(H259/G259*100%,"SEM INFORMAÇÃO DE CUSTOS")</f>
        <v>12.978723404255318</v>
      </c>
      <c r="J259" s="5">
        <f t="shared" ref="J259:J322" si="35">K259+L259</f>
        <v>3</v>
      </c>
      <c r="K259" s="5">
        <v>0</v>
      </c>
      <c r="L259" s="5">
        <v>3</v>
      </c>
      <c r="M259" s="5">
        <v>0</v>
      </c>
      <c r="N259" s="48">
        <f t="shared" si="32"/>
        <v>164.7</v>
      </c>
      <c r="O259" s="48">
        <f t="shared" ref="O259:O322" si="36">K259*H259</f>
        <v>0</v>
      </c>
      <c r="P259" s="48">
        <f t="shared" ref="P259:P322" si="37">O259+N259</f>
        <v>164.7</v>
      </c>
      <c r="Q259" s="48">
        <f t="shared" ref="Q259:Q322" si="38">J259*G259</f>
        <v>12.690000000000001</v>
      </c>
      <c r="R259" s="5" t="s">
        <v>682</v>
      </c>
      <c r="S259" s="5" t="s">
        <v>683</v>
      </c>
      <c r="V259" s="44">
        <f t="shared" ref="V259:V322" si="39">L259*H259</f>
        <v>164.7</v>
      </c>
    </row>
    <row r="260" spans="1:22" x14ac:dyDescent="0.2">
      <c r="A260" s="53" t="s">
        <v>331</v>
      </c>
      <c r="B260" s="1" t="s">
        <v>332</v>
      </c>
      <c r="C260" s="5" t="s">
        <v>49</v>
      </c>
      <c r="G260" s="47">
        <f t="shared" si="33"/>
        <v>0</v>
      </c>
      <c r="H260" s="47">
        <v>109.9</v>
      </c>
      <c r="I260" s="16" t="str">
        <f t="shared" si="34"/>
        <v>SEM INFORMAÇÃO DE CUSTOS</v>
      </c>
      <c r="J260" s="5">
        <f t="shared" si="35"/>
        <v>1</v>
      </c>
      <c r="K260" s="5">
        <v>0</v>
      </c>
      <c r="L260" s="5">
        <v>1</v>
      </c>
      <c r="M260" s="5">
        <v>0</v>
      </c>
      <c r="N260" s="48">
        <f t="shared" si="32"/>
        <v>109.9</v>
      </c>
      <c r="O260" s="48">
        <f t="shared" si="36"/>
        <v>0</v>
      </c>
      <c r="P260" s="48">
        <f t="shared" si="37"/>
        <v>109.9</v>
      </c>
      <c r="Q260" s="48">
        <f t="shared" si="38"/>
        <v>0</v>
      </c>
      <c r="R260" s="5" t="s">
        <v>682</v>
      </c>
      <c r="S260" s="5" t="s">
        <v>683</v>
      </c>
      <c r="V260" s="44">
        <f t="shared" si="39"/>
        <v>109.9</v>
      </c>
    </row>
    <row r="261" spans="1:22" x14ac:dyDescent="0.2">
      <c r="A261" s="53" t="s">
        <v>333</v>
      </c>
      <c r="B261" s="1" t="s">
        <v>332</v>
      </c>
      <c r="C261" s="5" t="s">
        <v>49</v>
      </c>
      <c r="E261" s="47">
        <v>5.95</v>
      </c>
      <c r="F261" s="47">
        <v>6.55</v>
      </c>
      <c r="G261" s="47">
        <f t="shared" si="33"/>
        <v>12.5</v>
      </c>
      <c r="H261" s="47">
        <v>97.65</v>
      </c>
      <c r="I261" s="16">
        <f t="shared" si="34"/>
        <v>7.8120000000000003</v>
      </c>
      <c r="J261" s="5">
        <f t="shared" si="35"/>
        <v>5</v>
      </c>
      <c r="K261" s="5">
        <v>1</v>
      </c>
      <c r="L261" s="5">
        <v>4</v>
      </c>
      <c r="M261" s="5">
        <v>0</v>
      </c>
      <c r="N261" s="48">
        <f t="shared" si="32"/>
        <v>390.6</v>
      </c>
      <c r="O261" s="48">
        <f t="shared" si="36"/>
        <v>97.65</v>
      </c>
      <c r="P261" s="48">
        <f t="shared" si="37"/>
        <v>488.25</v>
      </c>
      <c r="Q261" s="48">
        <f t="shared" si="38"/>
        <v>62.5</v>
      </c>
      <c r="R261" s="5" t="s">
        <v>682</v>
      </c>
      <c r="S261" s="5" t="s">
        <v>683</v>
      </c>
      <c r="V261" s="44">
        <f t="shared" si="39"/>
        <v>390.6</v>
      </c>
    </row>
    <row r="262" spans="1:22" x14ac:dyDescent="0.2">
      <c r="A262" s="53" t="s">
        <v>334</v>
      </c>
      <c r="B262" s="1" t="s">
        <v>332</v>
      </c>
      <c r="C262" s="5" t="s">
        <v>49</v>
      </c>
      <c r="E262" s="47">
        <v>5.95</v>
      </c>
      <c r="F262" s="47">
        <v>8.33</v>
      </c>
      <c r="G262" s="47">
        <f t="shared" si="33"/>
        <v>14.280000000000001</v>
      </c>
      <c r="H262" s="47">
        <v>129.9</v>
      </c>
      <c r="I262" s="16">
        <f t="shared" si="34"/>
        <v>9.0966386554621845</v>
      </c>
      <c r="J262" s="5">
        <f t="shared" si="35"/>
        <v>6</v>
      </c>
      <c r="K262" s="5">
        <v>0</v>
      </c>
      <c r="L262" s="5">
        <v>6</v>
      </c>
      <c r="M262" s="5">
        <v>0</v>
      </c>
      <c r="N262" s="48">
        <f t="shared" si="32"/>
        <v>779.40000000000009</v>
      </c>
      <c r="O262" s="48">
        <f t="shared" si="36"/>
        <v>0</v>
      </c>
      <c r="P262" s="48">
        <f t="shared" si="37"/>
        <v>779.40000000000009</v>
      </c>
      <c r="Q262" s="48">
        <f t="shared" si="38"/>
        <v>85.68</v>
      </c>
      <c r="R262" s="5" t="s">
        <v>682</v>
      </c>
      <c r="S262" s="5" t="s">
        <v>683</v>
      </c>
      <c r="V262" s="44">
        <f t="shared" si="39"/>
        <v>779.40000000000009</v>
      </c>
    </row>
    <row r="263" spans="1:22" x14ac:dyDescent="0.2">
      <c r="A263" s="53" t="s">
        <v>335</v>
      </c>
      <c r="B263" s="1" t="s">
        <v>336</v>
      </c>
      <c r="C263" s="5" t="s">
        <v>49</v>
      </c>
      <c r="G263" s="47">
        <f t="shared" si="33"/>
        <v>0</v>
      </c>
      <c r="H263" s="47">
        <v>44.9</v>
      </c>
      <c r="I263" s="16" t="str">
        <f t="shared" si="34"/>
        <v>SEM INFORMAÇÃO DE CUSTOS</v>
      </c>
      <c r="J263" s="5">
        <f t="shared" si="35"/>
        <v>2</v>
      </c>
      <c r="K263" s="5">
        <v>0</v>
      </c>
      <c r="L263" s="5">
        <v>2</v>
      </c>
      <c r="M263" s="5">
        <v>0</v>
      </c>
      <c r="N263" s="48">
        <f t="shared" si="32"/>
        <v>89.8</v>
      </c>
      <c r="O263" s="48">
        <f t="shared" si="36"/>
        <v>0</v>
      </c>
      <c r="P263" s="48">
        <f t="shared" si="37"/>
        <v>89.8</v>
      </c>
      <c r="Q263" s="48">
        <f t="shared" si="38"/>
        <v>0</v>
      </c>
      <c r="R263" s="5" t="s">
        <v>682</v>
      </c>
      <c r="S263" s="5" t="s">
        <v>683</v>
      </c>
      <c r="V263" s="44">
        <f t="shared" si="39"/>
        <v>89.8</v>
      </c>
    </row>
    <row r="264" spans="1:22" x14ac:dyDescent="0.2">
      <c r="A264" s="53" t="s">
        <v>337</v>
      </c>
      <c r="B264" s="1" t="s">
        <v>49</v>
      </c>
      <c r="C264" s="5" t="s">
        <v>49</v>
      </c>
      <c r="E264" s="47">
        <v>4.2</v>
      </c>
      <c r="F264" s="47">
        <v>8.33</v>
      </c>
      <c r="G264" s="47">
        <f t="shared" si="33"/>
        <v>12.530000000000001</v>
      </c>
      <c r="H264" s="47">
        <v>79.900000000000006</v>
      </c>
      <c r="I264" s="16">
        <f t="shared" si="34"/>
        <v>6.3766959297685553</v>
      </c>
      <c r="J264" s="5">
        <f t="shared" si="35"/>
        <v>2</v>
      </c>
      <c r="K264" s="5">
        <v>0</v>
      </c>
      <c r="L264" s="5">
        <v>2</v>
      </c>
      <c r="M264" s="5">
        <v>0</v>
      </c>
      <c r="N264" s="48">
        <f t="shared" si="32"/>
        <v>159.80000000000001</v>
      </c>
      <c r="O264" s="48">
        <f t="shared" si="36"/>
        <v>0</v>
      </c>
      <c r="P264" s="48">
        <f t="shared" si="37"/>
        <v>159.80000000000001</v>
      </c>
      <c r="Q264" s="48">
        <f t="shared" si="38"/>
        <v>25.060000000000002</v>
      </c>
      <c r="R264" s="5" t="s">
        <v>682</v>
      </c>
      <c r="S264" s="5" t="s">
        <v>683</v>
      </c>
      <c r="V264" s="44">
        <f t="shared" si="39"/>
        <v>159.80000000000001</v>
      </c>
    </row>
    <row r="265" spans="1:22" x14ac:dyDescent="0.2">
      <c r="A265" s="53" t="s">
        <v>338</v>
      </c>
      <c r="B265" s="1" t="s">
        <v>339</v>
      </c>
      <c r="C265" s="5" t="s">
        <v>49</v>
      </c>
      <c r="E265" s="47">
        <v>4.8499999999999996</v>
      </c>
      <c r="F265" s="47">
        <v>7.14</v>
      </c>
      <c r="G265" s="47">
        <f t="shared" si="33"/>
        <v>11.989999999999998</v>
      </c>
      <c r="H265" s="47">
        <v>84.9</v>
      </c>
      <c r="I265" s="16">
        <f t="shared" si="34"/>
        <v>7.0809007506255224</v>
      </c>
      <c r="J265" s="5">
        <f t="shared" si="35"/>
        <v>1</v>
      </c>
      <c r="K265" s="5">
        <v>0</v>
      </c>
      <c r="L265" s="5">
        <v>1</v>
      </c>
      <c r="M265" s="5">
        <v>0</v>
      </c>
      <c r="N265" s="48">
        <f t="shared" si="32"/>
        <v>84.9</v>
      </c>
      <c r="O265" s="48">
        <f t="shared" si="36"/>
        <v>0</v>
      </c>
      <c r="P265" s="48">
        <f t="shared" si="37"/>
        <v>84.9</v>
      </c>
      <c r="Q265" s="48">
        <f t="shared" si="38"/>
        <v>11.989999999999998</v>
      </c>
      <c r="R265" s="5" t="s">
        <v>682</v>
      </c>
      <c r="S265" s="5" t="s">
        <v>683</v>
      </c>
      <c r="V265" s="44">
        <f t="shared" si="39"/>
        <v>84.9</v>
      </c>
    </row>
    <row r="266" spans="1:22" x14ac:dyDescent="0.2">
      <c r="A266" s="53" t="s">
        <v>340</v>
      </c>
      <c r="B266" s="1" t="s">
        <v>341</v>
      </c>
      <c r="C266" s="5" t="s">
        <v>49</v>
      </c>
      <c r="E266" s="47">
        <v>3.65</v>
      </c>
      <c r="F266" s="47">
        <v>5.95</v>
      </c>
      <c r="G266" s="47">
        <f t="shared" si="33"/>
        <v>9.6</v>
      </c>
      <c r="H266" s="47">
        <v>65.7</v>
      </c>
      <c r="I266" s="16">
        <f t="shared" si="34"/>
        <v>6.8437500000000009</v>
      </c>
      <c r="J266" s="5">
        <f t="shared" si="35"/>
        <v>4</v>
      </c>
      <c r="K266" s="5">
        <v>0</v>
      </c>
      <c r="L266" s="5">
        <v>4</v>
      </c>
      <c r="M266" s="5">
        <v>0</v>
      </c>
      <c r="N266" s="48">
        <f t="shared" si="32"/>
        <v>262.8</v>
      </c>
      <c r="O266" s="48">
        <f t="shared" si="36"/>
        <v>0</v>
      </c>
      <c r="P266" s="48">
        <f t="shared" si="37"/>
        <v>262.8</v>
      </c>
      <c r="Q266" s="48">
        <f t="shared" si="38"/>
        <v>38.4</v>
      </c>
      <c r="R266" s="5" t="s">
        <v>682</v>
      </c>
      <c r="S266" s="5" t="s">
        <v>683</v>
      </c>
      <c r="V266" s="44">
        <f t="shared" si="39"/>
        <v>262.8</v>
      </c>
    </row>
    <row r="267" spans="1:22" x14ac:dyDescent="0.2">
      <c r="A267" s="53" t="s">
        <v>342</v>
      </c>
      <c r="B267" s="1" t="s">
        <v>343</v>
      </c>
      <c r="C267" s="5" t="s">
        <v>49</v>
      </c>
      <c r="E267" s="47">
        <v>4.95</v>
      </c>
      <c r="F267" s="47">
        <v>9.23</v>
      </c>
      <c r="G267" s="47">
        <f t="shared" si="33"/>
        <v>14.18</v>
      </c>
      <c r="H267" s="47">
        <v>113.9</v>
      </c>
      <c r="I267" s="16">
        <f t="shared" si="34"/>
        <v>8.0324400564174905</v>
      </c>
      <c r="J267" s="5">
        <f t="shared" si="35"/>
        <v>4</v>
      </c>
      <c r="K267" s="5">
        <v>0</v>
      </c>
      <c r="L267" s="5">
        <v>4</v>
      </c>
      <c r="M267" s="5">
        <v>0</v>
      </c>
      <c r="N267" s="48">
        <f t="shared" si="32"/>
        <v>455.6</v>
      </c>
      <c r="O267" s="48">
        <f t="shared" si="36"/>
        <v>0</v>
      </c>
      <c r="P267" s="48">
        <f t="shared" si="37"/>
        <v>455.6</v>
      </c>
      <c r="Q267" s="48">
        <f t="shared" si="38"/>
        <v>56.72</v>
      </c>
      <c r="R267" s="5" t="s">
        <v>682</v>
      </c>
      <c r="S267" s="5" t="s">
        <v>683</v>
      </c>
      <c r="V267" s="44">
        <f t="shared" si="39"/>
        <v>455.6</v>
      </c>
    </row>
    <row r="268" spans="1:22" x14ac:dyDescent="0.2">
      <c r="A268" s="53" t="s">
        <v>344</v>
      </c>
      <c r="B268" s="1" t="s">
        <v>47</v>
      </c>
      <c r="C268" s="5" t="s">
        <v>49</v>
      </c>
      <c r="E268" s="47">
        <v>3.45</v>
      </c>
      <c r="F268" s="47">
        <v>4.17</v>
      </c>
      <c r="G268" s="47">
        <f t="shared" si="33"/>
        <v>7.62</v>
      </c>
      <c r="H268" s="47">
        <v>64.8</v>
      </c>
      <c r="I268" s="16">
        <f t="shared" si="34"/>
        <v>8.5039370078740149</v>
      </c>
      <c r="J268" s="5">
        <f t="shared" si="35"/>
        <v>3</v>
      </c>
      <c r="K268" s="5">
        <v>0</v>
      </c>
      <c r="L268" s="5">
        <v>3</v>
      </c>
      <c r="M268" s="5">
        <v>0</v>
      </c>
      <c r="N268" s="48">
        <f t="shared" si="32"/>
        <v>194.39999999999998</v>
      </c>
      <c r="O268" s="48">
        <f t="shared" si="36"/>
        <v>0</v>
      </c>
      <c r="P268" s="48">
        <f t="shared" si="37"/>
        <v>194.39999999999998</v>
      </c>
      <c r="Q268" s="48">
        <f t="shared" si="38"/>
        <v>22.86</v>
      </c>
      <c r="R268" s="5" t="s">
        <v>682</v>
      </c>
      <c r="S268" s="5" t="s">
        <v>683</v>
      </c>
      <c r="V268" s="44">
        <f t="shared" si="39"/>
        <v>194.39999999999998</v>
      </c>
    </row>
    <row r="269" spans="1:22" x14ac:dyDescent="0.2">
      <c r="A269" s="53" t="s">
        <v>345</v>
      </c>
      <c r="B269" s="1" t="s">
        <v>346</v>
      </c>
      <c r="C269" s="5" t="s">
        <v>49</v>
      </c>
      <c r="E269" s="47">
        <v>4.9000000000000004</v>
      </c>
      <c r="F269" s="47">
        <v>5.95</v>
      </c>
      <c r="G269" s="47">
        <f t="shared" si="33"/>
        <v>10.850000000000001</v>
      </c>
      <c r="H269" s="47">
        <v>56.4</v>
      </c>
      <c r="I269" s="16">
        <f t="shared" si="34"/>
        <v>5.1981566820276486</v>
      </c>
      <c r="J269" s="5">
        <f t="shared" si="35"/>
        <v>3</v>
      </c>
      <c r="K269" s="5">
        <v>0</v>
      </c>
      <c r="L269" s="5">
        <v>3</v>
      </c>
      <c r="M269" s="5">
        <v>0</v>
      </c>
      <c r="N269" s="48">
        <f t="shared" si="32"/>
        <v>169.2</v>
      </c>
      <c r="O269" s="48">
        <f t="shared" si="36"/>
        <v>0</v>
      </c>
      <c r="P269" s="48">
        <f t="shared" si="37"/>
        <v>169.2</v>
      </c>
      <c r="Q269" s="48">
        <f t="shared" si="38"/>
        <v>32.550000000000004</v>
      </c>
      <c r="R269" s="5" t="s">
        <v>682</v>
      </c>
      <c r="S269" s="5" t="s">
        <v>683</v>
      </c>
      <c r="V269" s="44">
        <f t="shared" si="39"/>
        <v>169.2</v>
      </c>
    </row>
    <row r="270" spans="1:22" x14ac:dyDescent="0.2">
      <c r="A270" s="53" t="s">
        <v>347</v>
      </c>
      <c r="B270" s="1" t="s">
        <v>348</v>
      </c>
      <c r="C270" s="5" t="s">
        <v>49</v>
      </c>
      <c r="G270" s="47">
        <f t="shared" si="33"/>
        <v>0</v>
      </c>
      <c r="H270" s="47">
        <v>79.900000000000006</v>
      </c>
      <c r="I270" s="16" t="str">
        <f t="shared" si="34"/>
        <v>SEM INFORMAÇÃO DE CUSTOS</v>
      </c>
      <c r="J270" s="5">
        <f t="shared" si="35"/>
        <v>0</v>
      </c>
      <c r="K270" s="5">
        <v>0</v>
      </c>
      <c r="L270" s="5">
        <v>0</v>
      </c>
      <c r="M270" s="5">
        <v>0</v>
      </c>
      <c r="N270" s="48">
        <f t="shared" si="32"/>
        <v>0</v>
      </c>
      <c r="O270" s="48">
        <f t="shared" si="36"/>
        <v>0</v>
      </c>
      <c r="P270" s="48">
        <f t="shared" si="37"/>
        <v>0</v>
      </c>
      <c r="Q270" s="48">
        <f t="shared" si="38"/>
        <v>0</v>
      </c>
      <c r="R270" s="5" t="s">
        <v>682</v>
      </c>
      <c r="S270" s="5" t="s">
        <v>683</v>
      </c>
      <c r="V270" s="44">
        <f t="shared" si="39"/>
        <v>0</v>
      </c>
    </row>
    <row r="271" spans="1:22" x14ac:dyDescent="0.2">
      <c r="A271" s="53" t="s">
        <v>349</v>
      </c>
      <c r="B271" s="1" t="s">
        <v>304</v>
      </c>
      <c r="C271" s="5" t="s">
        <v>49</v>
      </c>
      <c r="G271" s="47">
        <f t="shared" si="33"/>
        <v>0</v>
      </c>
      <c r="H271" s="47">
        <v>79.900000000000006</v>
      </c>
      <c r="I271" s="16" t="str">
        <f t="shared" si="34"/>
        <v>SEM INFORMAÇÃO DE CUSTOS</v>
      </c>
      <c r="J271" s="5">
        <f t="shared" si="35"/>
        <v>2</v>
      </c>
      <c r="K271" s="5">
        <v>0</v>
      </c>
      <c r="L271" s="5">
        <v>2</v>
      </c>
      <c r="M271" s="5">
        <v>0</v>
      </c>
      <c r="N271" s="48">
        <f t="shared" si="32"/>
        <v>159.80000000000001</v>
      </c>
      <c r="O271" s="48">
        <f t="shared" si="36"/>
        <v>0</v>
      </c>
      <c r="P271" s="48">
        <f t="shared" si="37"/>
        <v>159.80000000000001</v>
      </c>
      <c r="Q271" s="48">
        <f t="shared" si="38"/>
        <v>0</v>
      </c>
      <c r="R271" s="5" t="s">
        <v>682</v>
      </c>
      <c r="S271" s="5" t="s">
        <v>683</v>
      </c>
      <c r="V271" s="44">
        <f t="shared" si="39"/>
        <v>159.80000000000001</v>
      </c>
    </row>
    <row r="272" spans="1:22" x14ac:dyDescent="0.2">
      <c r="A272" s="53" t="s">
        <v>350</v>
      </c>
      <c r="B272" s="1" t="s">
        <v>351</v>
      </c>
      <c r="C272" s="5" t="s">
        <v>49</v>
      </c>
      <c r="E272" s="47">
        <v>7.95</v>
      </c>
      <c r="F272" s="47">
        <v>7.44</v>
      </c>
      <c r="G272" s="47">
        <f t="shared" si="33"/>
        <v>15.39</v>
      </c>
      <c r="H272" s="47">
        <v>89.9</v>
      </c>
      <c r="I272" s="16">
        <f t="shared" si="34"/>
        <v>5.8414554905782978</v>
      </c>
      <c r="J272" s="5">
        <f t="shared" si="35"/>
        <v>3</v>
      </c>
      <c r="K272" s="5">
        <v>0</v>
      </c>
      <c r="L272" s="5">
        <v>3</v>
      </c>
      <c r="M272" s="5">
        <v>0</v>
      </c>
      <c r="N272" s="48">
        <f t="shared" si="32"/>
        <v>269.70000000000005</v>
      </c>
      <c r="O272" s="48">
        <f t="shared" si="36"/>
        <v>0</v>
      </c>
      <c r="P272" s="48">
        <f t="shared" si="37"/>
        <v>269.70000000000005</v>
      </c>
      <c r="Q272" s="48">
        <f t="shared" si="38"/>
        <v>46.17</v>
      </c>
      <c r="R272" s="5" t="s">
        <v>682</v>
      </c>
      <c r="S272" s="5" t="s">
        <v>683</v>
      </c>
      <c r="V272" s="44">
        <f t="shared" si="39"/>
        <v>269.70000000000005</v>
      </c>
    </row>
    <row r="273" spans="1:22" x14ac:dyDescent="0.2">
      <c r="A273" s="53" t="s">
        <v>352</v>
      </c>
      <c r="B273" s="1" t="s">
        <v>353</v>
      </c>
      <c r="C273" s="5" t="s">
        <v>49</v>
      </c>
      <c r="G273" s="47">
        <f t="shared" si="33"/>
        <v>0</v>
      </c>
      <c r="H273" s="47">
        <v>32.5</v>
      </c>
      <c r="I273" s="16" t="str">
        <f t="shared" si="34"/>
        <v>SEM INFORMAÇÃO DE CUSTOS</v>
      </c>
      <c r="J273" s="5">
        <f t="shared" si="35"/>
        <v>5</v>
      </c>
      <c r="K273" s="5">
        <v>1</v>
      </c>
      <c r="L273" s="5">
        <v>4</v>
      </c>
      <c r="M273" s="5">
        <v>0</v>
      </c>
      <c r="N273" s="48">
        <f t="shared" si="32"/>
        <v>130</v>
      </c>
      <c r="O273" s="48">
        <f t="shared" si="36"/>
        <v>32.5</v>
      </c>
      <c r="P273" s="48">
        <f t="shared" si="37"/>
        <v>162.5</v>
      </c>
      <c r="Q273" s="48">
        <f t="shared" si="38"/>
        <v>0</v>
      </c>
      <c r="R273" s="5" t="s">
        <v>682</v>
      </c>
      <c r="S273" s="5" t="s">
        <v>683</v>
      </c>
      <c r="V273" s="44">
        <f t="shared" si="39"/>
        <v>130</v>
      </c>
    </row>
    <row r="274" spans="1:22" x14ac:dyDescent="0.2">
      <c r="A274" s="53" t="s">
        <v>354</v>
      </c>
      <c r="B274" s="1" t="s">
        <v>355</v>
      </c>
      <c r="C274" s="5" t="s">
        <v>49</v>
      </c>
      <c r="G274" s="47">
        <f t="shared" si="33"/>
        <v>0</v>
      </c>
      <c r="H274" s="47">
        <v>39.9</v>
      </c>
      <c r="I274" s="16" t="str">
        <f t="shared" si="34"/>
        <v>SEM INFORMAÇÃO DE CUSTOS</v>
      </c>
      <c r="J274" s="5">
        <f t="shared" si="35"/>
        <v>2</v>
      </c>
      <c r="K274" s="5">
        <v>0</v>
      </c>
      <c r="L274" s="5">
        <v>2</v>
      </c>
      <c r="M274" s="5">
        <v>0</v>
      </c>
      <c r="N274" s="48">
        <f t="shared" si="32"/>
        <v>79.8</v>
      </c>
      <c r="O274" s="48">
        <f t="shared" si="36"/>
        <v>0</v>
      </c>
      <c r="P274" s="48">
        <f t="shared" si="37"/>
        <v>79.8</v>
      </c>
      <c r="Q274" s="48">
        <f t="shared" si="38"/>
        <v>0</v>
      </c>
      <c r="R274" s="5" t="s">
        <v>682</v>
      </c>
      <c r="S274" s="5" t="s">
        <v>683</v>
      </c>
      <c r="V274" s="44">
        <f t="shared" si="39"/>
        <v>79.8</v>
      </c>
    </row>
    <row r="275" spans="1:22" x14ac:dyDescent="0.2">
      <c r="A275" s="53" t="s">
        <v>356</v>
      </c>
      <c r="B275" s="1" t="s">
        <v>357</v>
      </c>
      <c r="C275" s="5" t="s">
        <v>49</v>
      </c>
      <c r="G275" s="47">
        <f t="shared" si="33"/>
        <v>0</v>
      </c>
      <c r="H275" s="47">
        <v>35.9</v>
      </c>
      <c r="I275" s="16" t="str">
        <f t="shared" si="34"/>
        <v>SEM INFORMAÇÃO DE CUSTOS</v>
      </c>
      <c r="J275" s="5">
        <f t="shared" si="35"/>
        <v>2</v>
      </c>
      <c r="K275" s="5">
        <v>0</v>
      </c>
      <c r="L275" s="5">
        <v>2</v>
      </c>
      <c r="M275" s="5">
        <v>0</v>
      </c>
      <c r="N275" s="48">
        <f t="shared" si="32"/>
        <v>71.8</v>
      </c>
      <c r="O275" s="48">
        <f t="shared" si="36"/>
        <v>0</v>
      </c>
      <c r="P275" s="48">
        <f t="shared" si="37"/>
        <v>71.8</v>
      </c>
      <c r="Q275" s="48">
        <f t="shared" si="38"/>
        <v>0</v>
      </c>
      <c r="R275" s="5" t="s">
        <v>682</v>
      </c>
      <c r="S275" s="5" t="s">
        <v>683</v>
      </c>
      <c r="V275" s="44">
        <f t="shared" si="39"/>
        <v>71.8</v>
      </c>
    </row>
    <row r="276" spans="1:22" x14ac:dyDescent="0.2">
      <c r="A276" s="53" t="s">
        <v>358</v>
      </c>
      <c r="B276" s="1" t="s">
        <v>314</v>
      </c>
      <c r="C276" s="5" t="s">
        <v>49</v>
      </c>
      <c r="E276" s="47">
        <v>3.95</v>
      </c>
      <c r="F276" s="47">
        <v>5.0599999999999996</v>
      </c>
      <c r="G276" s="47">
        <f t="shared" si="33"/>
        <v>9.01</v>
      </c>
      <c r="H276" s="47">
        <v>69.900000000000006</v>
      </c>
      <c r="I276" s="16">
        <f t="shared" si="34"/>
        <v>7.7580466148723648</v>
      </c>
      <c r="J276" s="5">
        <f t="shared" si="35"/>
        <v>3</v>
      </c>
      <c r="K276" s="5">
        <v>0</v>
      </c>
      <c r="L276" s="5">
        <v>3</v>
      </c>
      <c r="M276" s="5">
        <v>0</v>
      </c>
      <c r="N276" s="48">
        <f t="shared" si="32"/>
        <v>209.70000000000002</v>
      </c>
      <c r="O276" s="48">
        <f t="shared" si="36"/>
        <v>0</v>
      </c>
      <c r="P276" s="48">
        <f t="shared" si="37"/>
        <v>209.70000000000002</v>
      </c>
      <c r="Q276" s="48">
        <f t="shared" si="38"/>
        <v>27.03</v>
      </c>
      <c r="R276" s="5" t="s">
        <v>682</v>
      </c>
      <c r="S276" s="5" t="s">
        <v>683</v>
      </c>
      <c r="V276" s="44">
        <f t="shared" si="39"/>
        <v>209.70000000000002</v>
      </c>
    </row>
    <row r="277" spans="1:22" x14ac:dyDescent="0.2">
      <c r="A277" s="53" t="s">
        <v>359</v>
      </c>
      <c r="B277" s="1" t="s">
        <v>360</v>
      </c>
      <c r="C277" s="5" t="s">
        <v>360</v>
      </c>
      <c r="G277" s="47">
        <f t="shared" si="33"/>
        <v>0</v>
      </c>
      <c r="H277" s="47">
        <v>179.9</v>
      </c>
      <c r="I277" s="16" t="str">
        <f t="shared" si="34"/>
        <v>SEM INFORMAÇÃO DE CUSTOS</v>
      </c>
      <c r="J277" s="5">
        <f t="shared" si="35"/>
        <v>2</v>
      </c>
      <c r="K277" s="5">
        <v>1</v>
      </c>
      <c r="L277" s="5">
        <v>1</v>
      </c>
      <c r="M277" s="5">
        <v>0</v>
      </c>
      <c r="N277" s="48">
        <f t="shared" si="32"/>
        <v>179.9</v>
      </c>
      <c r="O277" s="48">
        <f t="shared" si="36"/>
        <v>179.9</v>
      </c>
      <c r="P277" s="48">
        <f t="shared" si="37"/>
        <v>359.8</v>
      </c>
      <c r="Q277" s="48">
        <f t="shared" si="38"/>
        <v>0</v>
      </c>
      <c r="R277" s="5" t="s">
        <v>682</v>
      </c>
      <c r="S277" s="5" t="s">
        <v>683</v>
      </c>
      <c r="V277" s="44">
        <f t="shared" si="39"/>
        <v>179.9</v>
      </c>
    </row>
    <row r="278" spans="1:22" x14ac:dyDescent="0.2">
      <c r="A278" s="53" t="s">
        <v>361</v>
      </c>
      <c r="B278" s="1" t="s">
        <v>360</v>
      </c>
      <c r="C278" s="5" t="s">
        <v>360</v>
      </c>
      <c r="G278" s="47">
        <f t="shared" si="33"/>
        <v>0</v>
      </c>
      <c r="H278" s="47">
        <v>259.89999999999998</v>
      </c>
      <c r="I278" s="16" t="str">
        <f t="shared" si="34"/>
        <v>SEM INFORMAÇÃO DE CUSTOS</v>
      </c>
      <c r="J278" s="5">
        <f t="shared" si="35"/>
        <v>1</v>
      </c>
      <c r="K278" s="5">
        <v>0</v>
      </c>
      <c r="L278" s="5">
        <v>1</v>
      </c>
      <c r="M278" s="5">
        <v>0</v>
      </c>
      <c r="N278" s="48">
        <f t="shared" si="32"/>
        <v>259.89999999999998</v>
      </c>
      <c r="O278" s="48">
        <f t="shared" si="36"/>
        <v>0</v>
      </c>
      <c r="P278" s="48">
        <f t="shared" si="37"/>
        <v>259.89999999999998</v>
      </c>
      <c r="Q278" s="48">
        <f t="shared" si="38"/>
        <v>0</v>
      </c>
      <c r="R278" s="5" t="s">
        <v>682</v>
      </c>
      <c r="S278" s="5" t="s">
        <v>683</v>
      </c>
      <c r="V278" s="44">
        <f t="shared" si="39"/>
        <v>259.89999999999998</v>
      </c>
    </row>
    <row r="279" spans="1:22" x14ac:dyDescent="0.2">
      <c r="A279" s="53" t="s">
        <v>362</v>
      </c>
      <c r="B279" s="1" t="s">
        <v>363</v>
      </c>
      <c r="C279" s="5" t="s">
        <v>360</v>
      </c>
      <c r="G279" s="47">
        <f t="shared" si="33"/>
        <v>0</v>
      </c>
      <c r="H279" s="47">
        <v>89.9</v>
      </c>
      <c r="I279" s="16" t="str">
        <f t="shared" si="34"/>
        <v>SEM INFORMAÇÃO DE CUSTOS</v>
      </c>
      <c r="J279" s="5">
        <f t="shared" si="35"/>
        <v>0</v>
      </c>
      <c r="K279" s="5">
        <v>0</v>
      </c>
      <c r="L279" s="5">
        <v>0</v>
      </c>
      <c r="M279" s="5">
        <v>0</v>
      </c>
      <c r="N279" s="48">
        <f t="shared" si="32"/>
        <v>0</v>
      </c>
      <c r="O279" s="48">
        <f t="shared" si="36"/>
        <v>0</v>
      </c>
      <c r="P279" s="48">
        <f t="shared" si="37"/>
        <v>0</v>
      </c>
      <c r="Q279" s="48">
        <f t="shared" si="38"/>
        <v>0</v>
      </c>
      <c r="R279" s="5" t="s">
        <v>682</v>
      </c>
      <c r="S279" s="5" t="s">
        <v>683</v>
      </c>
      <c r="V279" s="44">
        <f t="shared" si="39"/>
        <v>0</v>
      </c>
    </row>
    <row r="280" spans="1:22" x14ac:dyDescent="0.2">
      <c r="A280" s="53" t="s">
        <v>364</v>
      </c>
      <c r="B280" s="1" t="s">
        <v>360</v>
      </c>
      <c r="C280" s="5" t="s">
        <v>360</v>
      </c>
      <c r="G280" s="47">
        <f t="shared" si="33"/>
        <v>0</v>
      </c>
      <c r="H280" s="47">
        <v>274.89999999999998</v>
      </c>
      <c r="I280" s="16" t="str">
        <f t="shared" si="34"/>
        <v>SEM INFORMAÇÃO DE CUSTOS</v>
      </c>
      <c r="J280" s="5">
        <f t="shared" si="35"/>
        <v>1</v>
      </c>
      <c r="K280" s="5">
        <v>0</v>
      </c>
      <c r="L280" s="5">
        <v>1</v>
      </c>
      <c r="M280" s="5">
        <v>0</v>
      </c>
      <c r="N280" s="48">
        <f t="shared" si="32"/>
        <v>274.89999999999998</v>
      </c>
      <c r="O280" s="48">
        <f t="shared" si="36"/>
        <v>0</v>
      </c>
      <c r="P280" s="48">
        <f t="shared" si="37"/>
        <v>274.89999999999998</v>
      </c>
      <c r="Q280" s="48">
        <f t="shared" si="38"/>
        <v>0</v>
      </c>
      <c r="R280" s="5" t="s">
        <v>682</v>
      </c>
      <c r="S280" s="5" t="s">
        <v>683</v>
      </c>
      <c r="V280" s="44">
        <f t="shared" si="39"/>
        <v>274.89999999999998</v>
      </c>
    </row>
    <row r="281" spans="1:22" x14ac:dyDescent="0.2">
      <c r="A281" s="53" t="s">
        <v>365</v>
      </c>
      <c r="B281" s="1" t="s">
        <v>360</v>
      </c>
      <c r="C281" s="5" t="s">
        <v>360</v>
      </c>
      <c r="G281" s="47">
        <f t="shared" si="33"/>
        <v>0</v>
      </c>
      <c r="H281" s="47">
        <v>199.9</v>
      </c>
      <c r="I281" s="16" t="str">
        <f t="shared" si="34"/>
        <v>SEM INFORMAÇÃO DE CUSTOS</v>
      </c>
      <c r="J281" s="5">
        <f t="shared" si="35"/>
        <v>2</v>
      </c>
      <c r="K281" s="5">
        <v>0</v>
      </c>
      <c r="L281" s="5">
        <v>2</v>
      </c>
      <c r="M281" s="5">
        <v>0</v>
      </c>
      <c r="N281" s="48">
        <f t="shared" si="32"/>
        <v>399.8</v>
      </c>
      <c r="O281" s="48">
        <f t="shared" si="36"/>
        <v>0</v>
      </c>
      <c r="P281" s="48">
        <f t="shared" si="37"/>
        <v>399.8</v>
      </c>
      <c r="Q281" s="48">
        <f t="shared" si="38"/>
        <v>0</v>
      </c>
      <c r="R281" s="5" t="s">
        <v>682</v>
      </c>
      <c r="S281" s="5" t="s">
        <v>683</v>
      </c>
      <c r="V281" s="44">
        <f t="shared" si="39"/>
        <v>399.8</v>
      </c>
    </row>
    <row r="282" spans="1:22" x14ac:dyDescent="0.2">
      <c r="A282" s="53" t="s">
        <v>366</v>
      </c>
      <c r="B282" s="1" t="s">
        <v>360</v>
      </c>
      <c r="C282" s="5" t="s">
        <v>360</v>
      </c>
      <c r="G282" s="47">
        <f t="shared" si="33"/>
        <v>0</v>
      </c>
      <c r="H282" s="47">
        <v>259.5</v>
      </c>
      <c r="I282" s="16" t="str">
        <f t="shared" si="34"/>
        <v>SEM INFORMAÇÃO DE CUSTOS</v>
      </c>
      <c r="J282" s="5">
        <f t="shared" si="35"/>
        <v>2</v>
      </c>
      <c r="K282" s="5">
        <v>0</v>
      </c>
      <c r="L282" s="5">
        <v>2</v>
      </c>
      <c r="M282" s="5">
        <v>0</v>
      </c>
      <c r="N282" s="48">
        <f t="shared" si="32"/>
        <v>519</v>
      </c>
      <c r="O282" s="48">
        <f t="shared" si="36"/>
        <v>0</v>
      </c>
      <c r="P282" s="48">
        <f t="shared" si="37"/>
        <v>519</v>
      </c>
      <c r="Q282" s="48">
        <f t="shared" si="38"/>
        <v>0</v>
      </c>
      <c r="R282" s="5" t="s">
        <v>682</v>
      </c>
      <c r="S282" s="5" t="s">
        <v>683</v>
      </c>
      <c r="V282" s="44">
        <f t="shared" si="39"/>
        <v>519</v>
      </c>
    </row>
    <row r="283" spans="1:22" x14ac:dyDescent="0.2">
      <c r="A283" s="53" t="s">
        <v>367</v>
      </c>
      <c r="B283" s="1" t="s">
        <v>360</v>
      </c>
      <c r="C283" s="5" t="s">
        <v>360</v>
      </c>
      <c r="G283" s="47">
        <f t="shared" si="33"/>
        <v>0</v>
      </c>
      <c r="H283" s="47">
        <v>169.9</v>
      </c>
      <c r="I283" s="16" t="str">
        <f t="shared" si="34"/>
        <v>SEM INFORMAÇÃO DE CUSTOS</v>
      </c>
      <c r="J283" s="5">
        <f t="shared" si="35"/>
        <v>2</v>
      </c>
      <c r="K283" s="5">
        <v>0</v>
      </c>
      <c r="L283" s="5">
        <v>2</v>
      </c>
      <c r="M283" s="5">
        <v>0</v>
      </c>
      <c r="N283" s="48">
        <f t="shared" si="32"/>
        <v>339.8</v>
      </c>
      <c r="O283" s="48">
        <f t="shared" si="36"/>
        <v>0</v>
      </c>
      <c r="P283" s="48">
        <f t="shared" si="37"/>
        <v>339.8</v>
      </c>
      <c r="Q283" s="48">
        <f t="shared" si="38"/>
        <v>0</v>
      </c>
      <c r="R283" s="5" t="s">
        <v>682</v>
      </c>
      <c r="S283" s="5" t="s">
        <v>683</v>
      </c>
      <c r="V283" s="44">
        <f t="shared" si="39"/>
        <v>339.8</v>
      </c>
    </row>
    <row r="284" spans="1:22" x14ac:dyDescent="0.2">
      <c r="A284" s="53" t="s">
        <v>368</v>
      </c>
      <c r="B284" s="1" t="s">
        <v>369</v>
      </c>
      <c r="C284" s="5" t="s">
        <v>360</v>
      </c>
      <c r="E284" s="47">
        <v>6.95</v>
      </c>
      <c r="F284" s="47">
        <v>37.61</v>
      </c>
      <c r="G284" s="47">
        <f t="shared" si="33"/>
        <v>44.56</v>
      </c>
      <c r="H284" s="47">
        <v>178.9</v>
      </c>
      <c r="I284" s="16">
        <f t="shared" si="34"/>
        <v>4.0148114901256733</v>
      </c>
      <c r="J284" s="5">
        <f t="shared" si="35"/>
        <v>4</v>
      </c>
      <c r="K284" s="5">
        <v>1</v>
      </c>
      <c r="L284" s="5">
        <v>3</v>
      </c>
      <c r="M284" s="5">
        <v>0</v>
      </c>
      <c r="N284" s="48">
        <f t="shared" si="32"/>
        <v>536.70000000000005</v>
      </c>
      <c r="O284" s="48">
        <f t="shared" si="36"/>
        <v>178.9</v>
      </c>
      <c r="P284" s="48">
        <f t="shared" si="37"/>
        <v>715.6</v>
      </c>
      <c r="Q284" s="48">
        <f t="shared" si="38"/>
        <v>178.24</v>
      </c>
      <c r="R284" s="5" t="s">
        <v>682</v>
      </c>
      <c r="S284" s="5" t="s">
        <v>683</v>
      </c>
      <c r="V284" s="44">
        <f t="shared" si="39"/>
        <v>536.70000000000005</v>
      </c>
    </row>
    <row r="285" spans="1:22" x14ac:dyDescent="0.2">
      <c r="A285" s="53" t="s">
        <v>370</v>
      </c>
      <c r="B285" s="1" t="s">
        <v>371</v>
      </c>
      <c r="C285" s="5" t="s">
        <v>383</v>
      </c>
      <c r="G285" s="47">
        <f t="shared" si="33"/>
        <v>0</v>
      </c>
      <c r="H285" s="47">
        <v>34.9</v>
      </c>
      <c r="I285" s="16" t="str">
        <f t="shared" si="34"/>
        <v>SEM INFORMAÇÃO DE CUSTOS</v>
      </c>
      <c r="J285" s="5">
        <f t="shared" si="35"/>
        <v>0</v>
      </c>
      <c r="K285" s="5">
        <v>0</v>
      </c>
      <c r="L285" s="5">
        <v>0</v>
      </c>
      <c r="M285" s="5">
        <v>0</v>
      </c>
      <c r="N285" s="48">
        <f t="shared" si="32"/>
        <v>0</v>
      </c>
      <c r="O285" s="48">
        <f t="shared" si="36"/>
        <v>0</v>
      </c>
      <c r="P285" s="48">
        <f t="shared" si="37"/>
        <v>0</v>
      </c>
      <c r="Q285" s="48">
        <f t="shared" si="38"/>
        <v>0</v>
      </c>
      <c r="R285" s="5" t="s">
        <v>682</v>
      </c>
      <c r="S285" s="5" t="s">
        <v>683</v>
      </c>
      <c r="V285" s="44">
        <f t="shared" si="39"/>
        <v>0</v>
      </c>
    </row>
    <row r="286" spans="1:22" x14ac:dyDescent="0.2">
      <c r="A286" s="53" t="s">
        <v>372</v>
      </c>
      <c r="B286" s="1" t="s">
        <v>373</v>
      </c>
      <c r="C286" s="5" t="s">
        <v>360</v>
      </c>
      <c r="G286" s="47">
        <f t="shared" si="33"/>
        <v>0</v>
      </c>
      <c r="H286" s="47">
        <v>89.9</v>
      </c>
      <c r="I286" s="16" t="str">
        <f t="shared" si="34"/>
        <v>SEM INFORMAÇÃO DE CUSTOS</v>
      </c>
      <c r="J286" s="5">
        <f t="shared" si="35"/>
        <v>0</v>
      </c>
      <c r="K286" s="5">
        <v>0</v>
      </c>
      <c r="L286" s="5">
        <v>0</v>
      </c>
      <c r="M286" s="5">
        <v>0</v>
      </c>
      <c r="N286" s="48">
        <f t="shared" si="32"/>
        <v>0</v>
      </c>
      <c r="O286" s="48">
        <f t="shared" si="36"/>
        <v>0</v>
      </c>
      <c r="P286" s="48">
        <f t="shared" si="37"/>
        <v>0</v>
      </c>
      <c r="Q286" s="48">
        <f t="shared" si="38"/>
        <v>0</v>
      </c>
      <c r="R286" s="5" t="s">
        <v>682</v>
      </c>
      <c r="S286" s="5" t="s">
        <v>683</v>
      </c>
      <c r="V286" s="44">
        <f t="shared" si="39"/>
        <v>0</v>
      </c>
    </row>
    <row r="287" spans="1:22" x14ac:dyDescent="0.2">
      <c r="A287" s="53" t="s">
        <v>374</v>
      </c>
      <c r="B287" s="1" t="s">
        <v>375</v>
      </c>
      <c r="C287" s="5" t="s">
        <v>383</v>
      </c>
      <c r="G287" s="47">
        <f t="shared" si="33"/>
        <v>0</v>
      </c>
      <c r="H287" s="47">
        <v>19.899999999999999</v>
      </c>
      <c r="I287" s="16" t="str">
        <f t="shared" si="34"/>
        <v>SEM INFORMAÇÃO DE CUSTOS</v>
      </c>
      <c r="J287" s="5">
        <f t="shared" si="35"/>
        <v>1</v>
      </c>
      <c r="K287" s="5">
        <v>0</v>
      </c>
      <c r="L287" s="5">
        <v>1</v>
      </c>
      <c r="M287" s="5">
        <v>0</v>
      </c>
      <c r="N287" s="48">
        <f t="shared" si="32"/>
        <v>19.899999999999999</v>
      </c>
      <c r="O287" s="48">
        <f t="shared" si="36"/>
        <v>0</v>
      </c>
      <c r="P287" s="48">
        <f t="shared" si="37"/>
        <v>19.899999999999999</v>
      </c>
      <c r="Q287" s="48">
        <f t="shared" si="38"/>
        <v>0</v>
      </c>
      <c r="R287" s="5" t="s">
        <v>682</v>
      </c>
      <c r="S287" s="5" t="s">
        <v>683</v>
      </c>
      <c r="V287" s="44">
        <f t="shared" si="39"/>
        <v>19.899999999999999</v>
      </c>
    </row>
    <row r="288" spans="1:22" x14ac:dyDescent="0.2">
      <c r="A288" s="53" t="s">
        <v>376</v>
      </c>
      <c r="B288" s="1" t="s">
        <v>377</v>
      </c>
      <c r="C288" s="5" t="s">
        <v>360</v>
      </c>
      <c r="G288" s="47">
        <f t="shared" si="33"/>
        <v>0</v>
      </c>
      <c r="H288" s="47">
        <v>74.900000000000006</v>
      </c>
      <c r="I288" s="16" t="str">
        <f t="shared" si="34"/>
        <v>SEM INFORMAÇÃO DE CUSTOS</v>
      </c>
      <c r="J288" s="5">
        <f t="shared" si="35"/>
        <v>1</v>
      </c>
      <c r="K288" s="5">
        <v>0</v>
      </c>
      <c r="L288" s="5">
        <v>1</v>
      </c>
      <c r="M288" s="5">
        <v>0</v>
      </c>
      <c r="N288" s="48">
        <f t="shared" si="32"/>
        <v>74.900000000000006</v>
      </c>
      <c r="O288" s="48">
        <f t="shared" si="36"/>
        <v>0</v>
      </c>
      <c r="P288" s="48">
        <f t="shared" si="37"/>
        <v>74.900000000000006</v>
      </c>
      <c r="Q288" s="48">
        <f t="shared" si="38"/>
        <v>0</v>
      </c>
      <c r="R288" s="5" t="s">
        <v>682</v>
      </c>
      <c r="S288" s="5" t="s">
        <v>683</v>
      </c>
      <c r="V288" s="44">
        <f t="shared" si="39"/>
        <v>74.900000000000006</v>
      </c>
    </row>
    <row r="289" spans="1:22" x14ac:dyDescent="0.2">
      <c r="A289" s="53" t="s">
        <v>378</v>
      </c>
      <c r="B289" s="1" t="s">
        <v>379</v>
      </c>
      <c r="C289" s="5" t="s">
        <v>383</v>
      </c>
      <c r="G289" s="47">
        <f t="shared" si="33"/>
        <v>0</v>
      </c>
      <c r="H289" s="47">
        <v>39.9</v>
      </c>
      <c r="I289" s="16" t="str">
        <f t="shared" si="34"/>
        <v>SEM INFORMAÇÃO DE CUSTOS</v>
      </c>
      <c r="J289" s="5">
        <f t="shared" si="35"/>
        <v>0</v>
      </c>
      <c r="K289" s="5">
        <v>0</v>
      </c>
      <c r="L289" s="5">
        <v>0</v>
      </c>
      <c r="M289" s="5">
        <v>0</v>
      </c>
      <c r="N289" s="48">
        <f t="shared" si="32"/>
        <v>0</v>
      </c>
      <c r="O289" s="48">
        <f t="shared" si="36"/>
        <v>0</v>
      </c>
      <c r="P289" s="48">
        <f t="shared" si="37"/>
        <v>0</v>
      </c>
      <c r="Q289" s="48">
        <f t="shared" si="38"/>
        <v>0</v>
      </c>
      <c r="R289" s="5" t="s">
        <v>682</v>
      </c>
      <c r="S289" s="5" t="s">
        <v>683</v>
      </c>
      <c r="V289" s="44">
        <f t="shared" si="39"/>
        <v>0</v>
      </c>
    </row>
    <row r="290" spans="1:22" x14ac:dyDescent="0.2">
      <c r="A290" s="53" t="s">
        <v>380</v>
      </c>
      <c r="B290" s="1" t="s">
        <v>381</v>
      </c>
      <c r="C290" s="5" t="s">
        <v>360</v>
      </c>
      <c r="G290" s="47">
        <f t="shared" si="33"/>
        <v>0</v>
      </c>
      <c r="H290" s="47">
        <v>94.9</v>
      </c>
      <c r="I290" s="16" t="str">
        <f t="shared" si="34"/>
        <v>SEM INFORMAÇÃO DE CUSTOS</v>
      </c>
      <c r="J290" s="5">
        <f t="shared" si="35"/>
        <v>0</v>
      </c>
      <c r="K290" s="5">
        <v>0</v>
      </c>
      <c r="L290" s="5">
        <v>0</v>
      </c>
      <c r="M290" s="5">
        <v>0</v>
      </c>
      <c r="N290" s="48">
        <f t="shared" si="32"/>
        <v>0</v>
      </c>
      <c r="O290" s="48">
        <f t="shared" si="36"/>
        <v>0</v>
      </c>
      <c r="P290" s="48">
        <f t="shared" si="37"/>
        <v>0</v>
      </c>
      <c r="Q290" s="48">
        <f t="shared" si="38"/>
        <v>0</v>
      </c>
      <c r="R290" s="5" t="s">
        <v>682</v>
      </c>
      <c r="S290" s="5" t="s">
        <v>683</v>
      </c>
      <c r="V290" s="44">
        <f t="shared" si="39"/>
        <v>0</v>
      </c>
    </row>
    <row r="291" spans="1:22" x14ac:dyDescent="0.2">
      <c r="A291" s="53" t="s">
        <v>382</v>
      </c>
      <c r="B291" s="1" t="s">
        <v>383</v>
      </c>
      <c r="C291" s="5" t="s">
        <v>383</v>
      </c>
      <c r="G291" s="47">
        <f t="shared" si="33"/>
        <v>0</v>
      </c>
      <c r="H291" s="47">
        <v>29.9</v>
      </c>
      <c r="I291" s="16" t="str">
        <f t="shared" si="34"/>
        <v>SEM INFORMAÇÃO DE CUSTOS</v>
      </c>
      <c r="J291" s="5">
        <f t="shared" si="35"/>
        <v>2</v>
      </c>
      <c r="K291" s="5">
        <v>0</v>
      </c>
      <c r="L291" s="5">
        <v>2</v>
      </c>
      <c r="M291" s="5">
        <v>0</v>
      </c>
      <c r="N291" s="48">
        <f t="shared" si="32"/>
        <v>59.8</v>
      </c>
      <c r="O291" s="48">
        <f t="shared" si="36"/>
        <v>0</v>
      </c>
      <c r="P291" s="48">
        <f t="shared" si="37"/>
        <v>59.8</v>
      </c>
      <c r="Q291" s="48">
        <f t="shared" si="38"/>
        <v>0</v>
      </c>
      <c r="R291" s="5" t="s">
        <v>682</v>
      </c>
      <c r="S291" s="5" t="s">
        <v>683</v>
      </c>
      <c r="V291" s="44">
        <f t="shared" si="39"/>
        <v>59.8</v>
      </c>
    </row>
    <row r="292" spans="1:22" x14ac:dyDescent="0.2">
      <c r="A292" s="53" t="s">
        <v>384</v>
      </c>
      <c r="B292" s="1" t="s">
        <v>385</v>
      </c>
      <c r="C292" s="5" t="s">
        <v>360</v>
      </c>
      <c r="G292" s="47">
        <f t="shared" si="33"/>
        <v>0</v>
      </c>
      <c r="H292" s="47">
        <v>84.9</v>
      </c>
      <c r="I292" s="16" t="str">
        <f t="shared" si="34"/>
        <v>SEM INFORMAÇÃO DE CUSTOS</v>
      </c>
      <c r="J292" s="5">
        <f t="shared" si="35"/>
        <v>0</v>
      </c>
      <c r="K292" s="5">
        <v>0</v>
      </c>
      <c r="L292" s="5">
        <v>0</v>
      </c>
      <c r="M292" s="5">
        <v>0</v>
      </c>
      <c r="N292" s="48">
        <f t="shared" si="32"/>
        <v>0</v>
      </c>
      <c r="O292" s="48">
        <f t="shared" si="36"/>
        <v>0</v>
      </c>
      <c r="P292" s="48">
        <f t="shared" si="37"/>
        <v>0</v>
      </c>
      <c r="Q292" s="48">
        <f t="shared" si="38"/>
        <v>0</v>
      </c>
      <c r="R292" s="5" t="s">
        <v>682</v>
      </c>
      <c r="S292" s="5" t="s">
        <v>683</v>
      </c>
      <c r="V292" s="44">
        <f t="shared" si="39"/>
        <v>0</v>
      </c>
    </row>
    <row r="293" spans="1:22" x14ac:dyDescent="0.2">
      <c r="A293" s="53" t="s">
        <v>386</v>
      </c>
      <c r="B293" s="1" t="s">
        <v>387</v>
      </c>
      <c r="C293" s="5" t="s">
        <v>383</v>
      </c>
      <c r="G293" s="47">
        <f t="shared" si="33"/>
        <v>0</v>
      </c>
      <c r="H293" s="47">
        <v>39.9</v>
      </c>
      <c r="I293" s="16" t="str">
        <f t="shared" si="34"/>
        <v>SEM INFORMAÇÃO DE CUSTOS</v>
      </c>
      <c r="J293" s="5">
        <f t="shared" si="35"/>
        <v>0</v>
      </c>
      <c r="K293" s="5">
        <v>0</v>
      </c>
      <c r="L293" s="5">
        <v>0</v>
      </c>
      <c r="M293" s="5">
        <v>0</v>
      </c>
      <c r="N293" s="48">
        <f t="shared" si="32"/>
        <v>0</v>
      </c>
      <c r="O293" s="48">
        <f t="shared" si="36"/>
        <v>0</v>
      </c>
      <c r="P293" s="48">
        <f t="shared" si="37"/>
        <v>0</v>
      </c>
      <c r="Q293" s="48">
        <f t="shared" si="38"/>
        <v>0</v>
      </c>
      <c r="R293" s="5" t="s">
        <v>682</v>
      </c>
      <c r="S293" s="5" t="s">
        <v>683</v>
      </c>
      <c r="V293" s="44">
        <f t="shared" si="39"/>
        <v>0</v>
      </c>
    </row>
    <row r="294" spans="1:22" x14ac:dyDescent="0.2">
      <c r="A294" s="53" t="s">
        <v>388</v>
      </c>
      <c r="B294" s="1" t="s">
        <v>389</v>
      </c>
      <c r="C294" s="5" t="s">
        <v>360</v>
      </c>
      <c r="G294" s="47">
        <f t="shared" si="33"/>
        <v>0</v>
      </c>
      <c r="H294" s="47">
        <v>94.9</v>
      </c>
      <c r="I294" s="16" t="str">
        <f t="shared" si="34"/>
        <v>SEM INFORMAÇÃO DE CUSTOS</v>
      </c>
      <c r="J294" s="5">
        <f t="shared" si="35"/>
        <v>1</v>
      </c>
      <c r="K294" s="5">
        <v>0</v>
      </c>
      <c r="L294" s="5">
        <v>1</v>
      </c>
      <c r="M294" s="5">
        <v>0</v>
      </c>
      <c r="N294" s="48">
        <f t="shared" si="32"/>
        <v>94.9</v>
      </c>
      <c r="O294" s="48">
        <f t="shared" si="36"/>
        <v>0</v>
      </c>
      <c r="P294" s="48">
        <f t="shared" si="37"/>
        <v>94.9</v>
      </c>
      <c r="Q294" s="48">
        <f t="shared" si="38"/>
        <v>0</v>
      </c>
      <c r="R294" s="5" t="s">
        <v>682</v>
      </c>
      <c r="S294" s="5" t="s">
        <v>683</v>
      </c>
      <c r="V294" s="44">
        <f t="shared" si="39"/>
        <v>94.9</v>
      </c>
    </row>
    <row r="295" spans="1:22" x14ac:dyDescent="0.2">
      <c r="A295" s="53" t="s">
        <v>390</v>
      </c>
      <c r="B295" s="1" t="s">
        <v>391</v>
      </c>
      <c r="C295" s="5" t="s">
        <v>383</v>
      </c>
      <c r="G295" s="47">
        <f t="shared" si="33"/>
        <v>0</v>
      </c>
      <c r="H295" s="47">
        <v>89.9</v>
      </c>
      <c r="I295" s="16" t="str">
        <f t="shared" si="34"/>
        <v>SEM INFORMAÇÃO DE CUSTOS</v>
      </c>
      <c r="J295" s="5">
        <f t="shared" si="35"/>
        <v>1</v>
      </c>
      <c r="K295" s="5">
        <v>0</v>
      </c>
      <c r="L295" s="5">
        <v>1</v>
      </c>
      <c r="M295" s="5">
        <v>0</v>
      </c>
      <c r="N295" s="48">
        <f t="shared" si="32"/>
        <v>89.9</v>
      </c>
      <c r="O295" s="48">
        <f t="shared" si="36"/>
        <v>0</v>
      </c>
      <c r="P295" s="48">
        <f t="shared" si="37"/>
        <v>89.9</v>
      </c>
      <c r="Q295" s="48">
        <f t="shared" si="38"/>
        <v>0</v>
      </c>
      <c r="R295" s="5" t="s">
        <v>682</v>
      </c>
      <c r="S295" s="5" t="s">
        <v>683</v>
      </c>
      <c r="V295" s="44">
        <f t="shared" si="39"/>
        <v>89.9</v>
      </c>
    </row>
    <row r="296" spans="1:22" x14ac:dyDescent="0.2">
      <c r="A296" s="53" t="s">
        <v>392</v>
      </c>
      <c r="B296" s="1" t="s">
        <v>393</v>
      </c>
      <c r="C296" s="5" t="s">
        <v>360</v>
      </c>
      <c r="G296" s="47">
        <f t="shared" si="33"/>
        <v>0</v>
      </c>
      <c r="H296" s="47">
        <v>144.9</v>
      </c>
      <c r="I296" s="16" t="str">
        <f t="shared" si="34"/>
        <v>SEM INFORMAÇÃO DE CUSTOS</v>
      </c>
      <c r="J296" s="5">
        <f t="shared" si="35"/>
        <v>1</v>
      </c>
      <c r="K296" s="5">
        <v>0</v>
      </c>
      <c r="L296" s="5">
        <v>1</v>
      </c>
      <c r="M296" s="5">
        <v>0</v>
      </c>
      <c r="N296" s="48">
        <f t="shared" si="32"/>
        <v>144.9</v>
      </c>
      <c r="O296" s="48">
        <f t="shared" si="36"/>
        <v>0</v>
      </c>
      <c r="P296" s="48">
        <f t="shared" si="37"/>
        <v>144.9</v>
      </c>
      <c r="Q296" s="48">
        <f t="shared" si="38"/>
        <v>0</v>
      </c>
      <c r="R296" s="5" t="s">
        <v>682</v>
      </c>
      <c r="S296" s="5" t="s">
        <v>683</v>
      </c>
      <c r="V296" s="44">
        <f t="shared" si="39"/>
        <v>144.9</v>
      </c>
    </row>
    <row r="297" spans="1:22" x14ac:dyDescent="0.2">
      <c r="A297" s="53" t="s">
        <v>394</v>
      </c>
      <c r="B297" s="1" t="s">
        <v>395</v>
      </c>
      <c r="C297" s="5" t="s">
        <v>383</v>
      </c>
      <c r="G297" s="47">
        <f t="shared" si="33"/>
        <v>0</v>
      </c>
      <c r="H297" s="47">
        <v>79.900000000000006</v>
      </c>
      <c r="I297" s="16" t="str">
        <f t="shared" si="34"/>
        <v>SEM INFORMAÇÃO DE CUSTOS</v>
      </c>
      <c r="J297" s="5">
        <f t="shared" si="35"/>
        <v>0</v>
      </c>
      <c r="K297" s="5">
        <v>0</v>
      </c>
      <c r="L297" s="5">
        <v>0</v>
      </c>
      <c r="M297" s="5">
        <v>0</v>
      </c>
      <c r="N297" s="48">
        <f t="shared" si="32"/>
        <v>0</v>
      </c>
      <c r="O297" s="48">
        <f t="shared" si="36"/>
        <v>0</v>
      </c>
      <c r="P297" s="48">
        <f t="shared" si="37"/>
        <v>0</v>
      </c>
      <c r="Q297" s="48">
        <f t="shared" si="38"/>
        <v>0</v>
      </c>
      <c r="R297" s="5" t="s">
        <v>682</v>
      </c>
      <c r="S297" s="5" t="s">
        <v>683</v>
      </c>
      <c r="V297" s="44">
        <f t="shared" si="39"/>
        <v>0</v>
      </c>
    </row>
    <row r="298" spans="1:22" x14ac:dyDescent="0.2">
      <c r="A298" s="53" t="s">
        <v>396</v>
      </c>
      <c r="B298" s="1" t="s">
        <v>397</v>
      </c>
      <c r="C298" s="5" t="s">
        <v>360</v>
      </c>
      <c r="G298" s="47">
        <f t="shared" si="33"/>
        <v>0</v>
      </c>
      <c r="H298" s="47">
        <v>134.9</v>
      </c>
      <c r="I298" s="16" t="str">
        <f t="shared" si="34"/>
        <v>SEM INFORMAÇÃO DE CUSTOS</v>
      </c>
      <c r="J298" s="5">
        <f t="shared" si="35"/>
        <v>0</v>
      </c>
      <c r="K298" s="5">
        <v>0</v>
      </c>
      <c r="L298" s="5">
        <v>0</v>
      </c>
      <c r="M298" s="5">
        <v>0</v>
      </c>
      <c r="N298" s="48">
        <f t="shared" si="32"/>
        <v>0</v>
      </c>
      <c r="O298" s="48">
        <f t="shared" si="36"/>
        <v>0</v>
      </c>
      <c r="P298" s="48">
        <f t="shared" si="37"/>
        <v>0</v>
      </c>
      <c r="Q298" s="48">
        <f t="shared" si="38"/>
        <v>0</v>
      </c>
      <c r="R298" s="5" t="s">
        <v>682</v>
      </c>
      <c r="S298" s="5" t="s">
        <v>683</v>
      </c>
      <c r="V298" s="44">
        <f t="shared" si="39"/>
        <v>0</v>
      </c>
    </row>
    <row r="299" spans="1:22" x14ac:dyDescent="0.2">
      <c r="A299" s="53" t="s">
        <v>398</v>
      </c>
      <c r="B299" s="1" t="s">
        <v>399</v>
      </c>
      <c r="C299" s="5" t="s">
        <v>383</v>
      </c>
      <c r="G299" s="47">
        <f t="shared" si="33"/>
        <v>0</v>
      </c>
      <c r="H299" s="47">
        <v>59.9</v>
      </c>
      <c r="I299" s="16" t="str">
        <f t="shared" si="34"/>
        <v>SEM INFORMAÇÃO DE CUSTOS</v>
      </c>
      <c r="J299" s="5">
        <f t="shared" si="35"/>
        <v>0</v>
      </c>
      <c r="K299" s="5">
        <v>0</v>
      </c>
      <c r="L299" s="5">
        <v>0</v>
      </c>
      <c r="M299" s="5">
        <v>0</v>
      </c>
      <c r="N299" s="48">
        <f t="shared" si="32"/>
        <v>0</v>
      </c>
      <c r="O299" s="48">
        <f t="shared" si="36"/>
        <v>0</v>
      </c>
      <c r="P299" s="48">
        <f t="shared" si="37"/>
        <v>0</v>
      </c>
      <c r="Q299" s="48">
        <f t="shared" si="38"/>
        <v>0</v>
      </c>
      <c r="R299" s="5" t="s">
        <v>682</v>
      </c>
      <c r="S299" s="5" t="s">
        <v>683</v>
      </c>
      <c r="V299" s="44">
        <f t="shared" si="39"/>
        <v>0</v>
      </c>
    </row>
    <row r="300" spans="1:22" x14ac:dyDescent="0.2">
      <c r="A300" s="53" t="s">
        <v>400</v>
      </c>
      <c r="B300" s="1" t="s">
        <v>401</v>
      </c>
      <c r="C300" s="5" t="s">
        <v>360</v>
      </c>
      <c r="G300" s="47">
        <f t="shared" si="33"/>
        <v>0</v>
      </c>
      <c r="H300" s="47">
        <v>114.9</v>
      </c>
      <c r="I300" s="16" t="str">
        <f t="shared" si="34"/>
        <v>SEM INFORMAÇÃO DE CUSTOS</v>
      </c>
      <c r="J300" s="5">
        <f t="shared" si="35"/>
        <v>2</v>
      </c>
      <c r="K300" s="5">
        <v>1</v>
      </c>
      <c r="L300" s="5">
        <v>1</v>
      </c>
      <c r="M300" s="5">
        <v>0</v>
      </c>
      <c r="N300" s="48">
        <f t="shared" si="32"/>
        <v>114.9</v>
      </c>
      <c r="O300" s="48">
        <f t="shared" si="36"/>
        <v>114.9</v>
      </c>
      <c r="P300" s="48">
        <f t="shared" si="37"/>
        <v>229.8</v>
      </c>
      <c r="Q300" s="48">
        <f t="shared" si="38"/>
        <v>0</v>
      </c>
      <c r="R300" s="5" t="s">
        <v>682</v>
      </c>
      <c r="S300" s="5" t="s">
        <v>683</v>
      </c>
      <c r="V300" s="44">
        <f t="shared" si="39"/>
        <v>114.9</v>
      </c>
    </row>
    <row r="301" spans="1:22" x14ac:dyDescent="0.2">
      <c r="A301" s="53" t="s">
        <v>402</v>
      </c>
      <c r="B301" s="1" t="s">
        <v>403</v>
      </c>
      <c r="C301" s="5" t="s">
        <v>383</v>
      </c>
      <c r="G301" s="47">
        <f t="shared" si="33"/>
        <v>0</v>
      </c>
      <c r="H301" s="47">
        <v>34.9</v>
      </c>
      <c r="I301" s="16" t="str">
        <f t="shared" si="34"/>
        <v>SEM INFORMAÇÃO DE CUSTOS</v>
      </c>
      <c r="J301" s="5">
        <f t="shared" si="35"/>
        <v>0</v>
      </c>
      <c r="K301" s="5">
        <v>0</v>
      </c>
      <c r="L301" s="5">
        <v>0</v>
      </c>
      <c r="M301" s="5">
        <v>0</v>
      </c>
      <c r="N301" s="48">
        <f t="shared" si="32"/>
        <v>0</v>
      </c>
      <c r="O301" s="48">
        <f t="shared" si="36"/>
        <v>0</v>
      </c>
      <c r="P301" s="48">
        <f t="shared" si="37"/>
        <v>0</v>
      </c>
      <c r="Q301" s="48">
        <f t="shared" si="38"/>
        <v>0</v>
      </c>
      <c r="R301" s="5" t="s">
        <v>682</v>
      </c>
      <c r="S301" s="5" t="s">
        <v>683</v>
      </c>
      <c r="V301" s="44">
        <f t="shared" si="39"/>
        <v>0</v>
      </c>
    </row>
    <row r="302" spans="1:22" x14ac:dyDescent="0.2">
      <c r="A302" s="53" t="s">
        <v>404</v>
      </c>
      <c r="B302" s="1" t="s">
        <v>405</v>
      </c>
      <c r="C302" s="5" t="s">
        <v>360</v>
      </c>
      <c r="G302" s="47">
        <f t="shared" si="33"/>
        <v>0</v>
      </c>
      <c r="H302" s="47">
        <v>89.9</v>
      </c>
      <c r="I302" s="16" t="str">
        <f t="shared" si="34"/>
        <v>SEM INFORMAÇÃO DE CUSTOS</v>
      </c>
      <c r="J302" s="5">
        <f t="shared" si="35"/>
        <v>0</v>
      </c>
      <c r="K302" s="5">
        <v>0</v>
      </c>
      <c r="L302" s="5">
        <v>0</v>
      </c>
      <c r="M302" s="5">
        <v>0</v>
      </c>
      <c r="N302" s="48">
        <f t="shared" si="32"/>
        <v>0</v>
      </c>
      <c r="O302" s="48">
        <f t="shared" si="36"/>
        <v>0</v>
      </c>
      <c r="P302" s="48">
        <f t="shared" si="37"/>
        <v>0</v>
      </c>
      <c r="Q302" s="48">
        <f t="shared" si="38"/>
        <v>0</v>
      </c>
      <c r="R302" s="5" t="s">
        <v>682</v>
      </c>
      <c r="S302" s="5" t="s">
        <v>683</v>
      </c>
      <c r="V302" s="44">
        <f t="shared" si="39"/>
        <v>0</v>
      </c>
    </row>
    <row r="303" spans="1:22" x14ac:dyDescent="0.2">
      <c r="A303" s="53" t="s">
        <v>406</v>
      </c>
      <c r="B303" s="1" t="s">
        <v>407</v>
      </c>
      <c r="C303" s="5" t="s">
        <v>383</v>
      </c>
      <c r="G303" s="47">
        <f t="shared" si="33"/>
        <v>0</v>
      </c>
      <c r="H303" s="47">
        <v>34.9</v>
      </c>
      <c r="I303" s="16" t="str">
        <f t="shared" si="34"/>
        <v>SEM INFORMAÇÃO DE CUSTOS</v>
      </c>
      <c r="J303" s="5">
        <f t="shared" si="35"/>
        <v>0</v>
      </c>
      <c r="K303" s="5">
        <v>0</v>
      </c>
      <c r="L303" s="5">
        <v>0</v>
      </c>
      <c r="M303" s="5">
        <v>0</v>
      </c>
      <c r="N303" s="48">
        <f t="shared" si="32"/>
        <v>0</v>
      </c>
      <c r="O303" s="48">
        <f t="shared" si="36"/>
        <v>0</v>
      </c>
      <c r="P303" s="48">
        <f t="shared" si="37"/>
        <v>0</v>
      </c>
      <c r="Q303" s="48">
        <f t="shared" si="38"/>
        <v>0</v>
      </c>
      <c r="R303" s="5" t="s">
        <v>682</v>
      </c>
      <c r="S303" s="5" t="s">
        <v>683</v>
      </c>
      <c r="V303" s="44">
        <f t="shared" si="39"/>
        <v>0</v>
      </c>
    </row>
    <row r="304" spans="1:22" x14ac:dyDescent="0.2">
      <c r="A304" s="53" t="s">
        <v>408</v>
      </c>
      <c r="B304" s="1" t="s">
        <v>409</v>
      </c>
      <c r="C304" s="5" t="s">
        <v>360</v>
      </c>
      <c r="G304" s="47">
        <f t="shared" si="33"/>
        <v>0</v>
      </c>
      <c r="H304" s="47">
        <v>89.9</v>
      </c>
      <c r="I304" s="16" t="str">
        <f t="shared" si="34"/>
        <v>SEM INFORMAÇÃO DE CUSTOS</v>
      </c>
      <c r="J304" s="5">
        <f t="shared" si="35"/>
        <v>1</v>
      </c>
      <c r="K304" s="5">
        <v>1</v>
      </c>
      <c r="L304" s="5">
        <v>0</v>
      </c>
      <c r="M304" s="5">
        <v>0</v>
      </c>
      <c r="N304" s="48">
        <f t="shared" si="32"/>
        <v>0</v>
      </c>
      <c r="O304" s="48">
        <f t="shared" si="36"/>
        <v>89.9</v>
      </c>
      <c r="P304" s="48">
        <f t="shared" si="37"/>
        <v>89.9</v>
      </c>
      <c r="Q304" s="48">
        <f t="shared" si="38"/>
        <v>0</v>
      </c>
      <c r="R304" s="5" t="s">
        <v>682</v>
      </c>
      <c r="S304" s="5" t="s">
        <v>683</v>
      </c>
      <c r="V304" s="44">
        <f t="shared" si="39"/>
        <v>0</v>
      </c>
    </row>
    <row r="305" spans="1:22" x14ac:dyDescent="0.2">
      <c r="A305" s="53" t="s">
        <v>410</v>
      </c>
      <c r="B305" s="1" t="s">
        <v>411</v>
      </c>
      <c r="C305" s="5" t="s">
        <v>383</v>
      </c>
      <c r="G305" s="47">
        <f t="shared" si="33"/>
        <v>0</v>
      </c>
      <c r="H305" s="47">
        <v>64.900000000000006</v>
      </c>
      <c r="I305" s="16" t="str">
        <f t="shared" si="34"/>
        <v>SEM INFORMAÇÃO DE CUSTOS</v>
      </c>
      <c r="J305" s="5">
        <f t="shared" si="35"/>
        <v>0</v>
      </c>
      <c r="K305" s="5">
        <v>0</v>
      </c>
      <c r="L305" s="5">
        <v>0</v>
      </c>
      <c r="M305" s="5">
        <v>0</v>
      </c>
      <c r="N305" s="48">
        <f t="shared" si="32"/>
        <v>0</v>
      </c>
      <c r="O305" s="48">
        <f t="shared" si="36"/>
        <v>0</v>
      </c>
      <c r="P305" s="48">
        <f t="shared" si="37"/>
        <v>0</v>
      </c>
      <c r="Q305" s="48">
        <f t="shared" si="38"/>
        <v>0</v>
      </c>
      <c r="R305" s="5" t="s">
        <v>682</v>
      </c>
      <c r="S305" s="5" t="s">
        <v>683</v>
      </c>
      <c r="V305" s="44">
        <f t="shared" si="39"/>
        <v>0</v>
      </c>
    </row>
    <row r="306" spans="1:22" x14ac:dyDescent="0.2">
      <c r="A306" s="53" t="s">
        <v>412</v>
      </c>
      <c r="B306" s="1" t="s">
        <v>413</v>
      </c>
      <c r="C306" s="5" t="s">
        <v>360</v>
      </c>
      <c r="G306" s="47">
        <f t="shared" si="33"/>
        <v>0</v>
      </c>
      <c r="H306" s="47">
        <v>119.9</v>
      </c>
      <c r="I306" s="16" t="str">
        <f t="shared" si="34"/>
        <v>SEM INFORMAÇÃO DE CUSTOS</v>
      </c>
      <c r="J306" s="5">
        <f t="shared" si="35"/>
        <v>2</v>
      </c>
      <c r="K306" s="5">
        <v>0</v>
      </c>
      <c r="L306" s="5">
        <v>2</v>
      </c>
      <c r="M306" s="5">
        <v>0</v>
      </c>
      <c r="N306" s="48">
        <f t="shared" si="32"/>
        <v>239.8</v>
      </c>
      <c r="O306" s="48">
        <f t="shared" si="36"/>
        <v>0</v>
      </c>
      <c r="P306" s="48">
        <f t="shared" si="37"/>
        <v>239.8</v>
      </c>
      <c r="Q306" s="48">
        <f t="shared" si="38"/>
        <v>0</v>
      </c>
      <c r="R306" s="5" t="s">
        <v>682</v>
      </c>
      <c r="S306" s="5" t="s">
        <v>683</v>
      </c>
      <c r="V306" s="44">
        <f t="shared" si="39"/>
        <v>239.8</v>
      </c>
    </row>
    <row r="307" spans="1:22" x14ac:dyDescent="0.2">
      <c r="A307" s="53" t="s">
        <v>414</v>
      </c>
      <c r="B307" s="1" t="s">
        <v>415</v>
      </c>
      <c r="C307" s="5" t="s">
        <v>383</v>
      </c>
      <c r="G307" s="47">
        <f t="shared" si="33"/>
        <v>0</v>
      </c>
      <c r="H307" s="47">
        <v>89.9</v>
      </c>
      <c r="I307" s="16" t="str">
        <f t="shared" si="34"/>
        <v>SEM INFORMAÇÃO DE CUSTOS</v>
      </c>
      <c r="J307" s="5">
        <f t="shared" si="35"/>
        <v>0</v>
      </c>
      <c r="K307" s="5">
        <v>0</v>
      </c>
      <c r="L307" s="5">
        <v>0</v>
      </c>
      <c r="M307" s="5">
        <v>0</v>
      </c>
      <c r="N307" s="48">
        <f t="shared" si="32"/>
        <v>0</v>
      </c>
      <c r="O307" s="48">
        <f t="shared" si="36"/>
        <v>0</v>
      </c>
      <c r="P307" s="48">
        <f t="shared" si="37"/>
        <v>0</v>
      </c>
      <c r="Q307" s="48">
        <f t="shared" si="38"/>
        <v>0</v>
      </c>
      <c r="R307" s="5" t="s">
        <v>682</v>
      </c>
      <c r="S307" s="5" t="s">
        <v>683</v>
      </c>
      <c r="V307" s="44">
        <f t="shared" si="39"/>
        <v>0</v>
      </c>
    </row>
    <row r="308" spans="1:22" x14ac:dyDescent="0.2">
      <c r="A308" s="53" t="s">
        <v>416</v>
      </c>
      <c r="B308" s="1" t="s">
        <v>417</v>
      </c>
      <c r="C308" s="5" t="s">
        <v>360</v>
      </c>
      <c r="G308" s="47">
        <f t="shared" si="33"/>
        <v>0</v>
      </c>
      <c r="H308" s="47">
        <v>144.9</v>
      </c>
      <c r="I308" s="16" t="str">
        <f t="shared" si="34"/>
        <v>SEM INFORMAÇÃO DE CUSTOS</v>
      </c>
      <c r="J308" s="5">
        <f t="shared" si="35"/>
        <v>1</v>
      </c>
      <c r="K308" s="5">
        <v>0</v>
      </c>
      <c r="L308" s="5">
        <v>1</v>
      </c>
      <c r="M308" s="5">
        <v>0</v>
      </c>
      <c r="N308" s="48">
        <f t="shared" si="32"/>
        <v>144.9</v>
      </c>
      <c r="O308" s="48">
        <f t="shared" si="36"/>
        <v>0</v>
      </c>
      <c r="P308" s="48">
        <f t="shared" si="37"/>
        <v>144.9</v>
      </c>
      <c r="Q308" s="48">
        <f t="shared" si="38"/>
        <v>0</v>
      </c>
      <c r="R308" s="5" t="s">
        <v>682</v>
      </c>
      <c r="S308" s="5" t="s">
        <v>683</v>
      </c>
      <c r="V308" s="44">
        <f t="shared" si="39"/>
        <v>144.9</v>
      </c>
    </row>
    <row r="309" spans="1:22" x14ac:dyDescent="0.2">
      <c r="A309" s="53" t="s">
        <v>418</v>
      </c>
      <c r="B309" s="1" t="s">
        <v>419</v>
      </c>
      <c r="C309" s="5" t="s">
        <v>383</v>
      </c>
      <c r="G309" s="47">
        <f t="shared" si="33"/>
        <v>0</v>
      </c>
      <c r="H309" s="47">
        <v>79.900000000000006</v>
      </c>
      <c r="I309" s="16" t="str">
        <f t="shared" si="34"/>
        <v>SEM INFORMAÇÃO DE CUSTOS</v>
      </c>
      <c r="J309" s="5">
        <f t="shared" si="35"/>
        <v>0</v>
      </c>
      <c r="K309" s="5">
        <v>0</v>
      </c>
      <c r="L309" s="5">
        <v>0</v>
      </c>
      <c r="M309" s="5">
        <v>0</v>
      </c>
      <c r="N309" s="48">
        <f t="shared" si="32"/>
        <v>0</v>
      </c>
      <c r="O309" s="48">
        <f t="shared" si="36"/>
        <v>0</v>
      </c>
      <c r="P309" s="48">
        <f t="shared" si="37"/>
        <v>0</v>
      </c>
      <c r="Q309" s="48">
        <f t="shared" si="38"/>
        <v>0</v>
      </c>
      <c r="R309" s="5" t="s">
        <v>682</v>
      </c>
      <c r="S309" s="5" t="s">
        <v>683</v>
      </c>
      <c r="V309" s="44">
        <f t="shared" si="39"/>
        <v>0</v>
      </c>
    </row>
    <row r="310" spans="1:22" x14ac:dyDescent="0.2">
      <c r="A310" s="53" t="s">
        <v>420</v>
      </c>
      <c r="B310" s="1" t="s">
        <v>421</v>
      </c>
      <c r="C310" s="5" t="s">
        <v>360</v>
      </c>
      <c r="G310" s="47">
        <f t="shared" si="33"/>
        <v>0</v>
      </c>
      <c r="H310" s="47">
        <v>134.9</v>
      </c>
      <c r="I310" s="16" t="str">
        <f t="shared" si="34"/>
        <v>SEM INFORMAÇÃO DE CUSTOS</v>
      </c>
      <c r="J310" s="5">
        <f t="shared" si="35"/>
        <v>0</v>
      </c>
      <c r="K310" s="5">
        <v>0</v>
      </c>
      <c r="L310" s="5">
        <v>0</v>
      </c>
      <c r="M310" s="5">
        <v>0</v>
      </c>
      <c r="N310" s="48">
        <f t="shared" si="32"/>
        <v>0</v>
      </c>
      <c r="O310" s="48">
        <f t="shared" si="36"/>
        <v>0</v>
      </c>
      <c r="P310" s="48">
        <f t="shared" si="37"/>
        <v>0</v>
      </c>
      <c r="Q310" s="48">
        <f t="shared" si="38"/>
        <v>0</v>
      </c>
      <c r="R310" s="5" t="s">
        <v>682</v>
      </c>
      <c r="S310" s="5" t="s">
        <v>683</v>
      </c>
      <c r="V310" s="44">
        <f t="shared" si="39"/>
        <v>0</v>
      </c>
    </row>
    <row r="311" spans="1:22" x14ac:dyDescent="0.2">
      <c r="A311" s="53" t="s">
        <v>422</v>
      </c>
      <c r="B311" s="1" t="s">
        <v>375</v>
      </c>
      <c r="C311" s="5" t="s">
        <v>383</v>
      </c>
      <c r="G311" s="47">
        <f t="shared" si="33"/>
        <v>0</v>
      </c>
      <c r="H311" s="47">
        <v>15.9</v>
      </c>
      <c r="I311" s="16" t="str">
        <f t="shared" si="34"/>
        <v>SEM INFORMAÇÃO DE CUSTOS</v>
      </c>
      <c r="J311" s="5">
        <f t="shared" si="35"/>
        <v>2</v>
      </c>
      <c r="K311" s="5">
        <v>0</v>
      </c>
      <c r="L311" s="5">
        <v>2</v>
      </c>
      <c r="M311" s="5">
        <v>0</v>
      </c>
      <c r="N311" s="48">
        <f t="shared" si="32"/>
        <v>31.8</v>
      </c>
      <c r="O311" s="48">
        <f t="shared" si="36"/>
        <v>0</v>
      </c>
      <c r="P311" s="48">
        <f t="shared" si="37"/>
        <v>31.8</v>
      </c>
      <c r="Q311" s="48">
        <f t="shared" si="38"/>
        <v>0</v>
      </c>
      <c r="R311" s="5" t="s">
        <v>682</v>
      </c>
      <c r="S311" s="5" t="s">
        <v>683</v>
      </c>
      <c r="V311" s="44">
        <f t="shared" si="39"/>
        <v>31.8</v>
      </c>
    </row>
    <row r="312" spans="1:22" x14ac:dyDescent="0.2">
      <c r="A312" s="53" t="s">
        <v>423</v>
      </c>
      <c r="B312" s="1" t="s">
        <v>377</v>
      </c>
      <c r="C312" s="5" t="s">
        <v>360</v>
      </c>
      <c r="G312" s="47">
        <f t="shared" si="33"/>
        <v>0</v>
      </c>
      <c r="H312" s="47">
        <v>70.900000000000006</v>
      </c>
      <c r="I312" s="16" t="str">
        <f t="shared" si="34"/>
        <v>SEM INFORMAÇÃO DE CUSTOS</v>
      </c>
      <c r="J312" s="5">
        <f t="shared" si="35"/>
        <v>0</v>
      </c>
      <c r="K312" s="5">
        <v>0</v>
      </c>
      <c r="L312" s="5">
        <v>0</v>
      </c>
      <c r="M312" s="5">
        <v>0</v>
      </c>
      <c r="N312" s="48">
        <f t="shared" si="32"/>
        <v>0</v>
      </c>
      <c r="O312" s="48">
        <f t="shared" si="36"/>
        <v>0</v>
      </c>
      <c r="P312" s="48">
        <f t="shared" si="37"/>
        <v>0</v>
      </c>
      <c r="Q312" s="48">
        <f t="shared" si="38"/>
        <v>0</v>
      </c>
      <c r="R312" s="5" t="s">
        <v>682</v>
      </c>
      <c r="S312" s="5" t="s">
        <v>683</v>
      </c>
      <c r="V312" s="44">
        <f t="shared" si="39"/>
        <v>0</v>
      </c>
    </row>
    <row r="313" spans="1:22" x14ac:dyDescent="0.2">
      <c r="A313" s="53" t="s">
        <v>424</v>
      </c>
      <c r="B313" s="1" t="s">
        <v>425</v>
      </c>
      <c r="C313" s="5" t="s">
        <v>383</v>
      </c>
      <c r="G313" s="47">
        <f t="shared" si="33"/>
        <v>0</v>
      </c>
      <c r="H313" s="47">
        <v>29.9</v>
      </c>
      <c r="I313" s="16" t="str">
        <f t="shared" si="34"/>
        <v>SEM INFORMAÇÃO DE CUSTOS</v>
      </c>
      <c r="J313" s="5">
        <f t="shared" si="35"/>
        <v>0</v>
      </c>
      <c r="K313" s="5">
        <v>0</v>
      </c>
      <c r="L313" s="5">
        <v>0</v>
      </c>
      <c r="M313" s="5">
        <v>0</v>
      </c>
      <c r="N313" s="48">
        <f t="shared" si="32"/>
        <v>0</v>
      </c>
      <c r="O313" s="48">
        <f t="shared" si="36"/>
        <v>0</v>
      </c>
      <c r="P313" s="48">
        <f t="shared" si="37"/>
        <v>0</v>
      </c>
      <c r="Q313" s="48">
        <f t="shared" si="38"/>
        <v>0</v>
      </c>
      <c r="R313" s="5" t="s">
        <v>682</v>
      </c>
      <c r="S313" s="5" t="s">
        <v>683</v>
      </c>
      <c r="V313" s="44">
        <f t="shared" si="39"/>
        <v>0</v>
      </c>
    </row>
    <row r="314" spans="1:22" x14ac:dyDescent="0.2">
      <c r="A314" s="53" t="s">
        <v>426</v>
      </c>
      <c r="B314" s="1" t="s">
        <v>427</v>
      </c>
      <c r="C314" s="5" t="s">
        <v>360</v>
      </c>
      <c r="G314" s="47">
        <f t="shared" si="33"/>
        <v>0</v>
      </c>
      <c r="H314" s="47">
        <v>84.9</v>
      </c>
      <c r="I314" s="16" t="str">
        <f t="shared" si="34"/>
        <v>SEM INFORMAÇÃO DE CUSTOS</v>
      </c>
      <c r="J314" s="5">
        <f t="shared" si="35"/>
        <v>0</v>
      </c>
      <c r="K314" s="5">
        <v>0</v>
      </c>
      <c r="L314" s="5">
        <v>0</v>
      </c>
      <c r="M314" s="5">
        <v>0</v>
      </c>
      <c r="N314" s="48">
        <f t="shared" si="32"/>
        <v>0</v>
      </c>
      <c r="O314" s="48">
        <f t="shared" si="36"/>
        <v>0</v>
      </c>
      <c r="P314" s="48">
        <f t="shared" si="37"/>
        <v>0</v>
      </c>
      <c r="Q314" s="48">
        <f t="shared" si="38"/>
        <v>0</v>
      </c>
      <c r="R314" s="5" t="s">
        <v>682</v>
      </c>
      <c r="S314" s="5" t="s">
        <v>683</v>
      </c>
      <c r="V314" s="44">
        <f t="shared" si="39"/>
        <v>0</v>
      </c>
    </row>
    <row r="315" spans="1:22" x14ac:dyDescent="0.2">
      <c r="A315" s="53" t="s">
        <v>428</v>
      </c>
      <c r="B315" s="1" t="s">
        <v>429</v>
      </c>
      <c r="C315" s="5" t="s">
        <v>383</v>
      </c>
      <c r="G315" s="47">
        <f t="shared" si="33"/>
        <v>0</v>
      </c>
      <c r="H315" s="47">
        <v>14.9</v>
      </c>
      <c r="I315" s="16" t="str">
        <f t="shared" si="34"/>
        <v>SEM INFORMAÇÃO DE CUSTOS</v>
      </c>
      <c r="J315" s="5">
        <f t="shared" si="35"/>
        <v>0</v>
      </c>
      <c r="K315" s="5">
        <v>0</v>
      </c>
      <c r="L315" s="5">
        <v>0</v>
      </c>
      <c r="M315" s="5">
        <v>0</v>
      </c>
      <c r="N315" s="48">
        <f t="shared" si="32"/>
        <v>0</v>
      </c>
      <c r="O315" s="48">
        <f t="shared" si="36"/>
        <v>0</v>
      </c>
      <c r="P315" s="48">
        <f t="shared" si="37"/>
        <v>0</v>
      </c>
      <c r="Q315" s="48">
        <f t="shared" si="38"/>
        <v>0</v>
      </c>
      <c r="R315" s="5" t="s">
        <v>682</v>
      </c>
      <c r="S315" s="5" t="s">
        <v>683</v>
      </c>
      <c r="V315" s="44">
        <f t="shared" si="39"/>
        <v>0</v>
      </c>
    </row>
    <row r="316" spans="1:22" x14ac:dyDescent="0.2">
      <c r="A316" s="53" t="s">
        <v>430</v>
      </c>
      <c r="B316" s="1" t="s">
        <v>431</v>
      </c>
      <c r="C316" s="5" t="s">
        <v>360</v>
      </c>
      <c r="G316" s="47">
        <f t="shared" si="33"/>
        <v>0</v>
      </c>
      <c r="H316" s="47">
        <v>69.900000000000006</v>
      </c>
      <c r="I316" s="16" t="str">
        <f t="shared" si="34"/>
        <v>SEM INFORMAÇÃO DE CUSTOS</v>
      </c>
      <c r="J316" s="5">
        <f t="shared" si="35"/>
        <v>2</v>
      </c>
      <c r="K316" s="5">
        <v>0</v>
      </c>
      <c r="L316" s="5">
        <v>2</v>
      </c>
      <c r="M316" s="5">
        <v>0</v>
      </c>
      <c r="N316" s="48">
        <f t="shared" si="32"/>
        <v>139.80000000000001</v>
      </c>
      <c r="O316" s="48">
        <f t="shared" si="36"/>
        <v>0</v>
      </c>
      <c r="P316" s="48">
        <f t="shared" si="37"/>
        <v>139.80000000000001</v>
      </c>
      <c r="Q316" s="48">
        <f t="shared" si="38"/>
        <v>0</v>
      </c>
      <c r="R316" s="5" t="s">
        <v>682</v>
      </c>
      <c r="S316" s="5" t="s">
        <v>683</v>
      </c>
      <c r="V316" s="44">
        <f t="shared" si="39"/>
        <v>139.80000000000001</v>
      </c>
    </row>
    <row r="317" spans="1:22" x14ac:dyDescent="0.2">
      <c r="A317" s="53" t="s">
        <v>432</v>
      </c>
      <c r="B317" s="1" t="s">
        <v>433</v>
      </c>
      <c r="C317" s="5" t="s">
        <v>383</v>
      </c>
      <c r="G317" s="47">
        <f t="shared" si="33"/>
        <v>0</v>
      </c>
      <c r="H317" s="47">
        <v>59.9</v>
      </c>
      <c r="I317" s="16" t="str">
        <f t="shared" si="34"/>
        <v>SEM INFORMAÇÃO DE CUSTOS</v>
      </c>
      <c r="J317" s="5">
        <f t="shared" si="35"/>
        <v>0</v>
      </c>
      <c r="K317" s="5">
        <v>0</v>
      </c>
      <c r="L317" s="5">
        <v>0</v>
      </c>
      <c r="M317" s="5">
        <v>0</v>
      </c>
      <c r="N317" s="48">
        <f t="shared" si="32"/>
        <v>0</v>
      </c>
      <c r="O317" s="48">
        <f t="shared" si="36"/>
        <v>0</v>
      </c>
      <c r="P317" s="48">
        <f t="shared" si="37"/>
        <v>0</v>
      </c>
      <c r="Q317" s="48">
        <f t="shared" si="38"/>
        <v>0</v>
      </c>
      <c r="R317" s="5" t="s">
        <v>682</v>
      </c>
      <c r="S317" s="5" t="s">
        <v>683</v>
      </c>
      <c r="V317" s="44">
        <f t="shared" si="39"/>
        <v>0</v>
      </c>
    </row>
    <row r="318" spans="1:22" x14ac:dyDescent="0.2">
      <c r="A318" s="53" t="s">
        <v>434</v>
      </c>
      <c r="B318" s="1" t="s">
        <v>435</v>
      </c>
      <c r="C318" s="5" t="s">
        <v>360</v>
      </c>
      <c r="G318" s="47">
        <f t="shared" si="33"/>
        <v>0</v>
      </c>
      <c r="H318" s="47">
        <v>114.9</v>
      </c>
      <c r="I318" s="16" t="str">
        <f t="shared" si="34"/>
        <v>SEM INFORMAÇÃO DE CUSTOS</v>
      </c>
      <c r="J318" s="5">
        <f t="shared" si="35"/>
        <v>1</v>
      </c>
      <c r="K318" s="5">
        <v>0</v>
      </c>
      <c r="L318" s="5">
        <v>1</v>
      </c>
      <c r="M318" s="5">
        <v>0</v>
      </c>
      <c r="N318" s="48">
        <f t="shared" si="32"/>
        <v>114.9</v>
      </c>
      <c r="O318" s="48">
        <f t="shared" si="36"/>
        <v>0</v>
      </c>
      <c r="P318" s="48">
        <f t="shared" si="37"/>
        <v>114.9</v>
      </c>
      <c r="Q318" s="48">
        <f t="shared" si="38"/>
        <v>0</v>
      </c>
      <c r="R318" s="5" t="s">
        <v>682</v>
      </c>
      <c r="S318" s="5" t="s">
        <v>683</v>
      </c>
      <c r="V318" s="44">
        <f t="shared" si="39"/>
        <v>114.9</v>
      </c>
    </row>
    <row r="319" spans="1:22" x14ac:dyDescent="0.2">
      <c r="A319" s="53" t="s">
        <v>436</v>
      </c>
      <c r="B319" s="1" t="s">
        <v>437</v>
      </c>
      <c r="C319" s="5" t="s">
        <v>383</v>
      </c>
      <c r="G319" s="47">
        <f t="shared" si="33"/>
        <v>0</v>
      </c>
      <c r="H319" s="47">
        <v>39.9</v>
      </c>
      <c r="I319" s="16" t="str">
        <f t="shared" si="34"/>
        <v>SEM INFORMAÇÃO DE CUSTOS</v>
      </c>
      <c r="J319" s="5">
        <f t="shared" si="35"/>
        <v>0</v>
      </c>
      <c r="K319" s="5">
        <v>0</v>
      </c>
      <c r="L319" s="5">
        <v>0</v>
      </c>
      <c r="M319" s="5">
        <v>0</v>
      </c>
      <c r="N319" s="48">
        <f t="shared" si="32"/>
        <v>0</v>
      </c>
      <c r="O319" s="48">
        <f t="shared" si="36"/>
        <v>0</v>
      </c>
      <c r="P319" s="48">
        <f t="shared" si="37"/>
        <v>0</v>
      </c>
      <c r="Q319" s="48">
        <f t="shared" si="38"/>
        <v>0</v>
      </c>
      <c r="R319" s="5" t="s">
        <v>682</v>
      </c>
      <c r="S319" s="5" t="s">
        <v>683</v>
      </c>
      <c r="V319" s="44">
        <f t="shared" si="39"/>
        <v>0</v>
      </c>
    </row>
    <row r="320" spans="1:22" x14ac:dyDescent="0.2">
      <c r="A320" s="53" t="s">
        <v>438</v>
      </c>
      <c r="B320" s="1" t="s">
        <v>439</v>
      </c>
      <c r="C320" s="5" t="s">
        <v>360</v>
      </c>
      <c r="G320" s="47">
        <f t="shared" si="33"/>
        <v>0</v>
      </c>
      <c r="H320" s="47">
        <v>94.9</v>
      </c>
      <c r="I320" s="16" t="str">
        <f t="shared" si="34"/>
        <v>SEM INFORMAÇÃO DE CUSTOS</v>
      </c>
      <c r="J320" s="5">
        <f t="shared" si="35"/>
        <v>2</v>
      </c>
      <c r="K320" s="5">
        <v>0</v>
      </c>
      <c r="L320" s="5">
        <v>2</v>
      </c>
      <c r="M320" s="5">
        <v>0</v>
      </c>
      <c r="N320" s="48">
        <f t="shared" si="32"/>
        <v>189.8</v>
      </c>
      <c r="O320" s="48">
        <f t="shared" si="36"/>
        <v>0</v>
      </c>
      <c r="P320" s="48">
        <f t="shared" si="37"/>
        <v>189.8</v>
      </c>
      <c r="Q320" s="48">
        <f t="shared" si="38"/>
        <v>0</v>
      </c>
      <c r="R320" s="5" t="s">
        <v>682</v>
      </c>
      <c r="S320" s="5" t="s">
        <v>683</v>
      </c>
      <c r="V320" s="44">
        <f t="shared" si="39"/>
        <v>189.8</v>
      </c>
    </row>
    <row r="321" spans="1:22" x14ac:dyDescent="0.2">
      <c r="A321" s="53" t="s">
        <v>440</v>
      </c>
      <c r="B321" s="1" t="s">
        <v>441</v>
      </c>
      <c r="C321" s="5" t="s">
        <v>383</v>
      </c>
      <c r="G321" s="47">
        <f t="shared" si="33"/>
        <v>0</v>
      </c>
      <c r="H321" s="47">
        <v>24.9</v>
      </c>
      <c r="I321" s="16" t="str">
        <f t="shared" si="34"/>
        <v>SEM INFORMAÇÃO DE CUSTOS</v>
      </c>
      <c r="J321" s="5">
        <f t="shared" si="35"/>
        <v>0</v>
      </c>
      <c r="K321" s="5">
        <v>0</v>
      </c>
      <c r="L321" s="5">
        <v>0</v>
      </c>
      <c r="M321" s="5">
        <v>0</v>
      </c>
      <c r="N321" s="48">
        <f t="shared" si="32"/>
        <v>0</v>
      </c>
      <c r="O321" s="48">
        <f t="shared" si="36"/>
        <v>0</v>
      </c>
      <c r="P321" s="48">
        <f t="shared" si="37"/>
        <v>0</v>
      </c>
      <c r="Q321" s="48">
        <f t="shared" si="38"/>
        <v>0</v>
      </c>
      <c r="R321" s="5" t="s">
        <v>682</v>
      </c>
      <c r="S321" s="5" t="s">
        <v>683</v>
      </c>
      <c r="V321" s="44">
        <f t="shared" si="39"/>
        <v>0</v>
      </c>
    </row>
    <row r="322" spans="1:22" x14ac:dyDescent="0.2">
      <c r="A322" s="53" t="s">
        <v>442</v>
      </c>
      <c r="B322" s="1" t="s">
        <v>443</v>
      </c>
      <c r="C322" s="5" t="s">
        <v>360</v>
      </c>
      <c r="G322" s="47">
        <f t="shared" si="33"/>
        <v>0</v>
      </c>
      <c r="H322" s="47">
        <v>79.900000000000006</v>
      </c>
      <c r="I322" s="16" t="str">
        <f t="shared" si="34"/>
        <v>SEM INFORMAÇÃO DE CUSTOS</v>
      </c>
      <c r="J322" s="5">
        <f t="shared" si="35"/>
        <v>2</v>
      </c>
      <c r="K322" s="5">
        <v>0</v>
      </c>
      <c r="L322" s="5">
        <v>2</v>
      </c>
      <c r="M322" s="5">
        <v>0</v>
      </c>
      <c r="N322" s="48">
        <f t="shared" ref="N322:N385" si="40">L322*H322</f>
        <v>159.80000000000001</v>
      </c>
      <c r="O322" s="48">
        <f t="shared" si="36"/>
        <v>0</v>
      </c>
      <c r="P322" s="48">
        <f t="shared" si="37"/>
        <v>159.80000000000001</v>
      </c>
      <c r="Q322" s="48">
        <f t="shared" si="38"/>
        <v>0</v>
      </c>
      <c r="R322" s="5" t="s">
        <v>682</v>
      </c>
      <c r="S322" s="5" t="s">
        <v>683</v>
      </c>
      <c r="V322" s="44">
        <f t="shared" si="39"/>
        <v>159.80000000000001</v>
      </c>
    </row>
    <row r="323" spans="1:22" x14ac:dyDescent="0.2">
      <c r="A323" s="53" t="s">
        <v>444</v>
      </c>
      <c r="B323" s="1" t="s">
        <v>445</v>
      </c>
      <c r="C323" s="5" t="s">
        <v>383</v>
      </c>
      <c r="G323" s="47">
        <f t="shared" ref="G323:G386" si="41">SUM(E323:F323)</f>
        <v>0</v>
      </c>
      <c r="H323" s="47">
        <v>79.900000000000006</v>
      </c>
      <c r="I323" s="16" t="str">
        <f t="shared" ref="I323:I386" si="42">IFERROR(H323/G323*100%,"SEM INFORMAÇÃO DE CUSTOS")</f>
        <v>SEM INFORMAÇÃO DE CUSTOS</v>
      </c>
      <c r="J323" s="5">
        <f t="shared" ref="J323:J386" si="43">K323+L323</f>
        <v>0</v>
      </c>
      <c r="K323" s="5">
        <v>0</v>
      </c>
      <c r="L323" s="5">
        <v>0</v>
      </c>
      <c r="M323" s="5">
        <v>0</v>
      </c>
      <c r="N323" s="48">
        <f t="shared" si="40"/>
        <v>0</v>
      </c>
      <c r="O323" s="48">
        <f t="shared" ref="O323:O386" si="44">K323*H323</f>
        <v>0</v>
      </c>
      <c r="P323" s="48">
        <f t="shared" ref="P323:P386" si="45">O323+N323</f>
        <v>0</v>
      </c>
      <c r="Q323" s="48">
        <f t="shared" ref="Q323:Q386" si="46">J323*G323</f>
        <v>0</v>
      </c>
      <c r="R323" s="5" t="s">
        <v>682</v>
      </c>
      <c r="S323" s="5" t="s">
        <v>683</v>
      </c>
      <c r="V323" s="44">
        <f t="shared" ref="V323:V386" si="47">L323*H323</f>
        <v>0</v>
      </c>
    </row>
    <row r="324" spans="1:22" x14ac:dyDescent="0.2">
      <c r="A324" s="53" t="s">
        <v>446</v>
      </c>
      <c r="B324" s="1" t="s">
        <v>447</v>
      </c>
      <c r="C324" s="5" t="s">
        <v>360</v>
      </c>
      <c r="G324" s="47">
        <f t="shared" si="41"/>
        <v>0</v>
      </c>
      <c r="H324" s="47">
        <v>134.9</v>
      </c>
      <c r="I324" s="16" t="str">
        <f t="shared" si="42"/>
        <v>SEM INFORMAÇÃO DE CUSTOS</v>
      </c>
      <c r="J324" s="5">
        <f t="shared" si="43"/>
        <v>0</v>
      </c>
      <c r="K324" s="5">
        <v>0</v>
      </c>
      <c r="L324" s="5">
        <v>0</v>
      </c>
      <c r="M324" s="5">
        <v>0</v>
      </c>
      <c r="N324" s="48">
        <f t="shared" si="40"/>
        <v>0</v>
      </c>
      <c r="O324" s="48">
        <f t="shared" si="44"/>
        <v>0</v>
      </c>
      <c r="P324" s="48">
        <f t="shared" si="45"/>
        <v>0</v>
      </c>
      <c r="Q324" s="48">
        <f t="shared" si="46"/>
        <v>0</v>
      </c>
      <c r="R324" s="5" t="s">
        <v>682</v>
      </c>
      <c r="S324" s="5" t="s">
        <v>683</v>
      </c>
      <c r="V324" s="44">
        <f t="shared" si="47"/>
        <v>0</v>
      </c>
    </row>
    <row r="325" spans="1:22" x14ac:dyDescent="0.2">
      <c r="A325" s="53" t="s">
        <v>448</v>
      </c>
      <c r="B325" s="1" t="s">
        <v>449</v>
      </c>
      <c r="C325" s="5" t="s">
        <v>383</v>
      </c>
      <c r="G325" s="47">
        <f t="shared" si="41"/>
        <v>0</v>
      </c>
      <c r="H325" s="47">
        <v>59.9</v>
      </c>
      <c r="I325" s="16" t="str">
        <f t="shared" si="42"/>
        <v>SEM INFORMAÇÃO DE CUSTOS</v>
      </c>
      <c r="J325" s="5">
        <f t="shared" si="43"/>
        <v>0</v>
      </c>
      <c r="K325" s="5">
        <v>0</v>
      </c>
      <c r="L325" s="5">
        <v>0</v>
      </c>
      <c r="M325" s="5">
        <v>0</v>
      </c>
      <c r="N325" s="48">
        <f t="shared" si="40"/>
        <v>0</v>
      </c>
      <c r="O325" s="48">
        <f t="shared" si="44"/>
        <v>0</v>
      </c>
      <c r="P325" s="48">
        <f t="shared" si="45"/>
        <v>0</v>
      </c>
      <c r="Q325" s="48">
        <f t="shared" si="46"/>
        <v>0</v>
      </c>
      <c r="R325" s="5" t="s">
        <v>682</v>
      </c>
      <c r="S325" s="5" t="s">
        <v>683</v>
      </c>
      <c r="V325" s="44">
        <f t="shared" si="47"/>
        <v>0</v>
      </c>
    </row>
    <row r="326" spans="1:22" x14ac:dyDescent="0.2">
      <c r="A326" s="53" t="s">
        <v>450</v>
      </c>
      <c r="B326" s="1" t="s">
        <v>451</v>
      </c>
      <c r="C326" s="5" t="s">
        <v>360</v>
      </c>
      <c r="G326" s="47">
        <f t="shared" si="41"/>
        <v>0</v>
      </c>
      <c r="H326" s="47">
        <v>114.9</v>
      </c>
      <c r="I326" s="16" t="str">
        <f t="shared" si="42"/>
        <v>SEM INFORMAÇÃO DE CUSTOS</v>
      </c>
      <c r="J326" s="5">
        <f t="shared" si="43"/>
        <v>1</v>
      </c>
      <c r="K326" s="5">
        <v>1</v>
      </c>
      <c r="L326" s="5">
        <v>0</v>
      </c>
      <c r="M326" s="5">
        <v>0</v>
      </c>
      <c r="N326" s="48">
        <f t="shared" si="40"/>
        <v>0</v>
      </c>
      <c r="O326" s="48">
        <f t="shared" si="44"/>
        <v>114.9</v>
      </c>
      <c r="P326" s="48">
        <f t="shared" si="45"/>
        <v>114.9</v>
      </c>
      <c r="Q326" s="48">
        <f t="shared" si="46"/>
        <v>0</v>
      </c>
      <c r="R326" s="5" t="s">
        <v>682</v>
      </c>
      <c r="S326" s="5" t="s">
        <v>683</v>
      </c>
      <c r="V326" s="44">
        <f t="shared" si="47"/>
        <v>0</v>
      </c>
    </row>
    <row r="327" spans="1:22" x14ac:dyDescent="0.2">
      <c r="A327" s="53" t="s">
        <v>452</v>
      </c>
      <c r="B327" s="1" t="s">
        <v>453</v>
      </c>
      <c r="C327" s="5" t="s">
        <v>383</v>
      </c>
      <c r="G327" s="47">
        <f t="shared" si="41"/>
        <v>0</v>
      </c>
      <c r="H327" s="47">
        <v>109.9</v>
      </c>
      <c r="I327" s="16" t="str">
        <f t="shared" si="42"/>
        <v>SEM INFORMAÇÃO DE CUSTOS</v>
      </c>
      <c r="J327" s="5">
        <f t="shared" si="43"/>
        <v>1</v>
      </c>
      <c r="K327" s="5">
        <v>0</v>
      </c>
      <c r="L327" s="5">
        <v>1</v>
      </c>
      <c r="M327" s="5">
        <v>0</v>
      </c>
      <c r="N327" s="48">
        <f t="shared" si="40"/>
        <v>109.9</v>
      </c>
      <c r="O327" s="48">
        <f t="shared" si="44"/>
        <v>0</v>
      </c>
      <c r="P327" s="48">
        <f t="shared" si="45"/>
        <v>109.9</v>
      </c>
      <c r="Q327" s="48">
        <f t="shared" si="46"/>
        <v>0</v>
      </c>
      <c r="R327" s="5" t="s">
        <v>682</v>
      </c>
      <c r="S327" s="5" t="s">
        <v>683</v>
      </c>
      <c r="V327" s="44">
        <f t="shared" si="47"/>
        <v>109.9</v>
      </c>
    </row>
    <row r="328" spans="1:22" x14ac:dyDescent="0.2">
      <c r="A328" s="53" t="s">
        <v>454</v>
      </c>
      <c r="B328" s="1" t="s">
        <v>455</v>
      </c>
      <c r="C328" s="5" t="s">
        <v>360</v>
      </c>
      <c r="G328" s="47">
        <f t="shared" si="41"/>
        <v>0</v>
      </c>
      <c r="H328" s="47">
        <v>164.9</v>
      </c>
      <c r="I328" s="16" t="str">
        <f t="shared" si="42"/>
        <v>SEM INFORMAÇÃO DE CUSTOS</v>
      </c>
      <c r="J328" s="5">
        <f t="shared" si="43"/>
        <v>1</v>
      </c>
      <c r="K328" s="5">
        <v>0</v>
      </c>
      <c r="L328" s="5">
        <v>1</v>
      </c>
      <c r="M328" s="5">
        <v>0</v>
      </c>
      <c r="N328" s="48">
        <f t="shared" si="40"/>
        <v>164.9</v>
      </c>
      <c r="O328" s="48">
        <f t="shared" si="44"/>
        <v>0</v>
      </c>
      <c r="P328" s="48">
        <f t="shared" si="45"/>
        <v>164.9</v>
      </c>
      <c r="Q328" s="48">
        <f t="shared" si="46"/>
        <v>0</v>
      </c>
      <c r="R328" s="5" t="s">
        <v>682</v>
      </c>
      <c r="S328" s="5" t="s">
        <v>683</v>
      </c>
      <c r="V328" s="44">
        <f t="shared" si="47"/>
        <v>164.9</v>
      </c>
    </row>
    <row r="329" spans="1:22" x14ac:dyDescent="0.2">
      <c r="A329" s="53" t="s">
        <v>456</v>
      </c>
      <c r="B329" s="1" t="s">
        <v>457</v>
      </c>
      <c r="C329" s="5" t="s">
        <v>383</v>
      </c>
      <c r="G329" s="47">
        <f t="shared" si="41"/>
        <v>0</v>
      </c>
      <c r="H329" s="47">
        <v>79.900000000000006</v>
      </c>
      <c r="I329" s="16" t="str">
        <f t="shared" si="42"/>
        <v>SEM INFORMAÇÃO DE CUSTOS</v>
      </c>
      <c r="J329" s="5">
        <f t="shared" si="43"/>
        <v>1</v>
      </c>
      <c r="K329" s="5">
        <v>0</v>
      </c>
      <c r="L329" s="5">
        <v>1</v>
      </c>
      <c r="M329" s="5">
        <v>0</v>
      </c>
      <c r="N329" s="48">
        <f t="shared" si="40"/>
        <v>79.900000000000006</v>
      </c>
      <c r="O329" s="48">
        <f t="shared" si="44"/>
        <v>0</v>
      </c>
      <c r="P329" s="48">
        <f t="shared" si="45"/>
        <v>79.900000000000006</v>
      </c>
      <c r="Q329" s="48">
        <f t="shared" si="46"/>
        <v>0</v>
      </c>
      <c r="R329" s="5" t="s">
        <v>682</v>
      </c>
      <c r="S329" s="5" t="s">
        <v>683</v>
      </c>
      <c r="V329" s="44">
        <f t="shared" si="47"/>
        <v>79.900000000000006</v>
      </c>
    </row>
    <row r="330" spans="1:22" x14ac:dyDescent="0.2">
      <c r="A330" s="53" t="s">
        <v>458</v>
      </c>
      <c r="B330" s="1" t="s">
        <v>459</v>
      </c>
      <c r="C330" s="5" t="s">
        <v>360</v>
      </c>
      <c r="G330" s="47">
        <f t="shared" si="41"/>
        <v>0</v>
      </c>
      <c r="H330" s="47">
        <v>134.9</v>
      </c>
      <c r="I330" s="16" t="str">
        <f t="shared" si="42"/>
        <v>SEM INFORMAÇÃO DE CUSTOS</v>
      </c>
      <c r="J330" s="5">
        <f t="shared" si="43"/>
        <v>2</v>
      </c>
      <c r="K330" s="5">
        <v>0</v>
      </c>
      <c r="L330" s="5">
        <v>2</v>
      </c>
      <c r="M330" s="5">
        <v>0</v>
      </c>
      <c r="N330" s="48">
        <f t="shared" si="40"/>
        <v>269.8</v>
      </c>
      <c r="O330" s="48">
        <f t="shared" si="44"/>
        <v>0</v>
      </c>
      <c r="P330" s="48">
        <f t="shared" si="45"/>
        <v>269.8</v>
      </c>
      <c r="Q330" s="48">
        <f t="shared" si="46"/>
        <v>0</v>
      </c>
      <c r="R330" s="5" t="s">
        <v>682</v>
      </c>
      <c r="S330" s="5" t="s">
        <v>683</v>
      </c>
      <c r="V330" s="44">
        <f t="shared" si="47"/>
        <v>269.8</v>
      </c>
    </row>
    <row r="331" spans="1:22" x14ac:dyDescent="0.2">
      <c r="A331" s="53" t="s">
        <v>460</v>
      </c>
      <c r="B331" s="1" t="s">
        <v>191</v>
      </c>
      <c r="C331" s="5" t="s">
        <v>383</v>
      </c>
      <c r="G331" s="47">
        <f t="shared" si="41"/>
        <v>0</v>
      </c>
      <c r="H331" s="47">
        <v>84.9</v>
      </c>
      <c r="I331" s="16" t="str">
        <f t="shared" si="42"/>
        <v>SEM INFORMAÇÃO DE CUSTOS</v>
      </c>
      <c r="J331" s="5">
        <f t="shared" si="43"/>
        <v>1</v>
      </c>
      <c r="K331" s="5">
        <v>0</v>
      </c>
      <c r="L331" s="5">
        <v>1</v>
      </c>
      <c r="M331" s="5">
        <v>0</v>
      </c>
      <c r="N331" s="48">
        <f t="shared" si="40"/>
        <v>84.9</v>
      </c>
      <c r="O331" s="48">
        <f t="shared" si="44"/>
        <v>0</v>
      </c>
      <c r="P331" s="48">
        <f t="shared" si="45"/>
        <v>84.9</v>
      </c>
      <c r="Q331" s="48">
        <f t="shared" si="46"/>
        <v>0</v>
      </c>
      <c r="R331" s="5" t="s">
        <v>682</v>
      </c>
      <c r="S331" s="5" t="s">
        <v>683</v>
      </c>
      <c r="V331" s="44">
        <f t="shared" si="47"/>
        <v>84.9</v>
      </c>
    </row>
    <row r="332" spans="1:22" x14ac:dyDescent="0.2">
      <c r="A332" s="53" t="s">
        <v>461</v>
      </c>
      <c r="B332" s="1" t="s">
        <v>194</v>
      </c>
      <c r="C332" s="5" t="s">
        <v>360</v>
      </c>
      <c r="G332" s="47">
        <f t="shared" si="41"/>
        <v>0</v>
      </c>
      <c r="H332" s="47">
        <v>139.9</v>
      </c>
      <c r="I332" s="16" t="str">
        <f t="shared" si="42"/>
        <v>SEM INFORMAÇÃO DE CUSTOS</v>
      </c>
      <c r="J332" s="5">
        <f t="shared" si="43"/>
        <v>1</v>
      </c>
      <c r="K332" s="5">
        <v>0</v>
      </c>
      <c r="L332" s="5">
        <v>1</v>
      </c>
      <c r="M332" s="5">
        <v>0</v>
      </c>
      <c r="N332" s="48">
        <f t="shared" si="40"/>
        <v>139.9</v>
      </c>
      <c r="O332" s="48">
        <f t="shared" si="44"/>
        <v>0</v>
      </c>
      <c r="P332" s="48">
        <f t="shared" si="45"/>
        <v>139.9</v>
      </c>
      <c r="Q332" s="48">
        <f t="shared" si="46"/>
        <v>0</v>
      </c>
      <c r="R332" s="5" t="s">
        <v>682</v>
      </c>
      <c r="S332" s="5" t="s">
        <v>683</v>
      </c>
      <c r="V332" s="44">
        <f t="shared" si="47"/>
        <v>139.9</v>
      </c>
    </row>
    <row r="333" spans="1:22" x14ac:dyDescent="0.2">
      <c r="A333" s="53" t="s">
        <v>462</v>
      </c>
      <c r="B333" s="1" t="s">
        <v>144</v>
      </c>
      <c r="C333" s="5" t="s">
        <v>144</v>
      </c>
      <c r="G333" s="47">
        <f t="shared" si="41"/>
        <v>0</v>
      </c>
      <c r="H333" s="47">
        <v>79.900000000000006</v>
      </c>
      <c r="I333" s="16" t="str">
        <f t="shared" si="42"/>
        <v>SEM INFORMAÇÃO DE CUSTOS</v>
      </c>
      <c r="J333" s="5">
        <f t="shared" si="43"/>
        <v>0</v>
      </c>
      <c r="K333" s="5">
        <v>0</v>
      </c>
      <c r="L333" s="5">
        <v>0</v>
      </c>
      <c r="M333" s="5">
        <v>0</v>
      </c>
      <c r="N333" s="48">
        <f t="shared" si="40"/>
        <v>0</v>
      </c>
      <c r="O333" s="48">
        <f t="shared" si="44"/>
        <v>0</v>
      </c>
      <c r="P333" s="48">
        <f t="shared" si="45"/>
        <v>0</v>
      </c>
      <c r="Q333" s="48">
        <f t="shared" si="46"/>
        <v>0</v>
      </c>
      <c r="R333" s="5" t="s">
        <v>682</v>
      </c>
      <c r="S333" s="5" t="s">
        <v>683</v>
      </c>
      <c r="V333" s="44">
        <f t="shared" si="47"/>
        <v>0</v>
      </c>
    </row>
    <row r="334" spans="1:22" x14ac:dyDescent="0.2">
      <c r="A334" s="53" t="s">
        <v>463</v>
      </c>
      <c r="B334" s="1" t="s">
        <v>464</v>
      </c>
      <c r="C334" s="5" t="s">
        <v>144</v>
      </c>
      <c r="E334" s="47">
        <v>2.95</v>
      </c>
      <c r="F334" s="47">
        <v>7.47</v>
      </c>
      <c r="G334" s="47">
        <f t="shared" si="41"/>
        <v>10.42</v>
      </c>
      <c r="H334" s="47">
        <v>69.900000000000006</v>
      </c>
      <c r="I334" s="16">
        <f t="shared" si="42"/>
        <v>6.7082533589251447</v>
      </c>
      <c r="J334" s="5">
        <f t="shared" si="43"/>
        <v>3</v>
      </c>
      <c r="K334" s="5">
        <v>0</v>
      </c>
      <c r="L334" s="5">
        <v>3</v>
      </c>
      <c r="M334" s="5">
        <v>0</v>
      </c>
      <c r="N334" s="48">
        <f t="shared" si="40"/>
        <v>209.70000000000002</v>
      </c>
      <c r="O334" s="48">
        <f t="shared" si="44"/>
        <v>0</v>
      </c>
      <c r="P334" s="48">
        <f t="shared" si="45"/>
        <v>209.70000000000002</v>
      </c>
      <c r="Q334" s="48">
        <f t="shared" si="46"/>
        <v>31.259999999999998</v>
      </c>
      <c r="R334" s="5" t="s">
        <v>682</v>
      </c>
      <c r="S334" s="5" t="s">
        <v>683</v>
      </c>
      <c r="V334" s="44">
        <f t="shared" si="47"/>
        <v>209.70000000000002</v>
      </c>
    </row>
    <row r="335" spans="1:22" x14ac:dyDescent="0.2">
      <c r="A335" s="53" t="s">
        <v>465</v>
      </c>
      <c r="B335" s="1" t="s">
        <v>144</v>
      </c>
      <c r="C335" s="5" t="s">
        <v>144</v>
      </c>
      <c r="E335" s="47">
        <v>4.2</v>
      </c>
      <c r="F335" s="47">
        <v>29.86</v>
      </c>
      <c r="G335" s="47">
        <f t="shared" si="41"/>
        <v>34.06</v>
      </c>
      <c r="H335" s="47">
        <v>158.9</v>
      </c>
      <c r="I335" s="16">
        <f t="shared" si="42"/>
        <v>4.6652965355255427</v>
      </c>
      <c r="J335" s="5">
        <f t="shared" si="43"/>
        <v>3</v>
      </c>
      <c r="K335" s="5">
        <v>0</v>
      </c>
      <c r="L335" s="5">
        <v>3</v>
      </c>
      <c r="M335" s="5">
        <v>0</v>
      </c>
      <c r="N335" s="48">
        <f t="shared" si="40"/>
        <v>476.70000000000005</v>
      </c>
      <c r="O335" s="48">
        <f t="shared" si="44"/>
        <v>0</v>
      </c>
      <c r="P335" s="48">
        <f t="shared" si="45"/>
        <v>476.70000000000005</v>
      </c>
      <c r="Q335" s="48">
        <f t="shared" si="46"/>
        <v>102.18</v>
      </c>
      <c r="R335" s="5" t="s">
        <v>682</v>
      </c>
      <c r="S335" s="5" t="s">
        <v>683</v>
      </c>
      <c r="V335" s="44">
        <f t="shared" si="47"/>
        <v>476.70000000000005</v>
      </c>
    </row>
    <row r="336" spans="1:22" x14ac:dyDescent="0.2">
      <c r="A336" s="53" t="s">
        <v>466</v>
      </c>
      <c r="B336" s="1" t="s">
        <v>144</v>
      </c>
      <c r="C336" s="5" t="s">
        <v>144</v>
      </c>
      <c r="E336" s="47">
        <v>3.95</v>
      </c>
      <c r="F336" s="47">
        <v>42.36</v>
      </c>
      <c r="G336" s="47">
        <f t="shared" si="41"/>
        <v>46.31</v>
      </c>
      <c r="H336" s="47">
        <v>239.9</v>
      </c>
      <c r="I336" s="16">
        <f t="shared" si="42"/>
        <v>5.1803066292377453</v>
      </c>
      <c r="J336" s="5">
        <f t="shared" si="43"/>
        <v>5</v>
      </c>
      <c r="K336" s="5">
        <v>1</v>
      </c>
      <c r="L336" s="5">
        <v>4</v>
      </c>
      <c r="M336" s="5">
        <v>0</v>
      </c>
      <c r="N336" s="48">
        <f t="shared" si="40"/>
        <v>959.6</v>
      </c>
      <c r="O336" s="48">
        <f t="shared" si="44"/>
        <v>239.9</v>
      </c>
      <c r="P336" s="48">
        <f t="shared" si="45"/>
        <v>1199.5</v>
      </c>
      <c r="Q336" s="48">
        <f t="shared" si="46"/>
        <v>231.55</v>
      </c>
      <c r="R336" s="5" t="s">
        <v>682</v>
      </c>
      <c r="S336" s="5" t="s">
        <v>683</v>
      </c>
      <c r="V336" s="44">
        <f t="shared" si="47"/>
        <v>959.6</v>
      </c>
    </row>
    <row r="337" spans="1:22" x14ac:dyDescent="0.2">
      <c r="A337" s="53" t="s">
        <v>467</v>
      </c>
      <c r="B337" s="1" t="s">
        <v>144</v>
      </c>
      <c r="C337" s="5" t="s">
        <v>144</v>
      </c>
      <c r="G337" s="47">
        <f t="shared" si="41"/>
        <v>0</v>
      </c>
      <c r="H337" s="47">
        <v>199.9</v>
      </c>
      <c r="I337" s="16" t="str">
        <f t="shared" si="42"/>
        <v>SEM INFORMAÇÃO DE CUSTOS</v>
      </c>
      <c r="J337" s="5">
        <f t="shared" si="43"/>
        <v>1</v>
      </c>
      <c r="K337" s="5">
        <v>0</v>
      </c>
      <c r="L337" s="5">
        <v>1</v>
      </c>
      <c r="M337" s="5">
        <v>0</v>
      </c>
      <c r="N337" s="48">
        <f t="shared" si="40"/>
        <v>199.9</v>
      </c>
      <c r="O337" s="48">
        <f t="shared" si="44"/>
        <v>0</v>
      </c>
      <c r="P337" s="48">
        <f t="shared" si="45"/>
        <v>199.9</v>
      </c>
      <c r="Q337" s="48">
        <f t="shared" si="46"/>
        <v>0</v>
      </c>
      <c r="R337" s="5" t="s">
        <v>682</v>
      </c>
      <c r="S337" s="5" t="s">
        <v>683</v>
      </c>
      <c r="V337" s="44">
        <f t="shared" si="47"/>
        <v>199.9</v>
      </c>
    </row>
    <row r="338" spans="1:22" x14ac:dyDescent="0.2">
      <c r="A338" s="53" t="s">
        <v>468</v>
      </c>
      <c r="B338" s="1" t="s">
        <v>469</v>
      </c>
      <c r="C338" s="5" t="s">
        <v>201</v>
      </c>
      <c r="E338" s="47">
        <v>39.950000000000003</v>
      </c>
      <c r="G338" s="47">
        <f t="shared" si="41"/>
        <v>39.950000000000003</v>
      </c>
      <c r="H338" s="47">
        <v>149.9</v>
      </c>
      <c r="I338" s="16">
        <f t="shared" si="42"/>
        <v>3.7521902377972465</v>
      </c>
      <c r="J338" s="5">
        <f t="shared" si="43"/>
        <v>0</v>
      </c>
      <c r="K338" s="5">
        <v>0</v>
      </c>
      <c r="L338" s="5">
        <v>0</v>
      </c>
      <c r="M338" s="5">
        <v>0</v>
      </c>
      <c r="N338" s="48">
        <f t="shared" si="40"/>
        <v>0</v>
      </c>
      <c r="O338" s="48">
        <f t="shared" si="44"/>
        <v>0</v>
      </c>
      <c r="P338" s="48">
        <f t="shared" si="45"/>
        <v>0</v>
      </c>
      <c r="Q338" s="48">
        <f t="shared" si="46"/>
        <v>0</v>
      </c>
      <c r="R338" s="5" t="s">
        <v>682</v>
      </c>
      <c r="S338" s="5" t="s">
        <v>683</v>
      </c>
      <c r="V338" s="44">
        <f t="shared" si="47"/>
        <v>0</v>
      </c>
    </row>
    <row r="339" spans="1:22" x14ac:dyDescent="0.2">
      <c r="A339" s="53" t="s">
        <v>470</v>
      </c>
      <c r="B339" s="1" t="s">
        <v>471</v>
      </c>
      <c r="C339" s="5" t="s">
        <v>201</v>
      </c>
      <c r="E339" s="47">
        <v>39.950000000000003</v>
      </c>
      <c r="G339" s="47">
        <f t="shared" si="41"/>
        <v>39.950000000000003</v>
      </c>
      <c r="H339" s="47">
        <v>149.9</v>
      </c>
      <c r="I339" s="16">
        <f t="shared" si="42"/>
        <v>3.7521902377972465</v>
      </c>
      <c r="J339" s="5">
        <f t="shared" si="43"/>
        <v>0</v>
      </c>
      <c r="K339" s="5">
        <v>0</v>
      </c>
      <c r="L339" s="5">
        <v>0</v>
      </c>
      <c r="M339" s="5">
        <v>0</v>
      </c>
      <c r="N339" s="48">
        <f t="shared" si="40"/>
        <v>0</v>
      </c>
      <c r="O339" s="48">
        <f t="shared" si="44"/>
        <v>0</v>
      </c>
      <c r="P339" s="48">
        <f t="shared" si="45"/>
        <v>0</v>
      </c>
      <c r="Q339" s="48">
        <f t="shared" si="46"/>
        <v>0</v>
      </c>
      <c r="R339" s="5" t="s">
        <v>682</v>
      </c>
      <c r="S339" s="5" t="s">
        <v>683</v>
      </c>
      <c r="V339" s="44">
        <f t="shared" si="47"/>
        <v>0</v>
      </c>
    </row>
    <row r="340" spans="1:22" x14ac:dyDescent="0.2">
      <c r="A340" s="53" t="s">
        <v>472</v>
      </c>
      <c r="B340" s="1" t="s">
        <v>473</v>
      </c>
      <c r="C340" s="5" t="s">
        <v>201</v>
      </c>
      <c r="E340" s="47">
        <v>39.950000000000003</v>
      </c>
      <c r="G340" s="47">
        <f t="shared" si="41"/>
        <v>39.950000000000003</v>
      </c>
      <c r="H340" s="47">
        <v>149.9</v>
      </c>
      <c r="I340" s="16">
        <f t="shared" si="42"/>
        <v>3.7521902377972465</v>
      </c>
      <c r="J340" s="5">
        <f t="shared" si="43"/>
        <v>1</v>
      </c>
      <c r="K340" s="5">
        <v>0</v>
      </c>
      <c r="L340" s="5">
        <v>1</v>
      </c>
      <c r="M340" s="5">
        <v>0</v>
      </c>
      <c r="N340" s="48">
        <f t="shared" si="40"/>
        <v>149.9</v>
      </c>
      <c r="O340" s="48">
        <f t="shared" si="44"/>
        <v>0</v>
      </c>
      <c r="P340" s="48">
        <f t="shared" si="45"/>
        <v>149.9</v>
      </c>
      <c r="Q340" s="48">
        <f t="shared" si="46"/>
        <v>39.950000000000003</v>
      </c>
      <c r="R340" s="5" t="s">
        <v>682</v>
      </c>
      <c r="S340" s="5" t="s">
        <v>683</v>
      </c>
      <c r="V340" s="44">
        <f t="shared" si="47"/>
        <v>149.9</v>
      </c>
    </row>
    <row r="341" spans="1:22" x14ac:dyDescent="0.2">
      <c r="A341" s="53" t="s">
        <v>474</v>
      </c>
      <c r="B341" s="1" t="s">
        <v>475</v>
      </c>
      <c r="C341" s="5" t="s">
        <v>201</v>
      </c>
      <c r="E341" s="47">
        <v>44.45</v>
      </c>
      <c r="G341" s="47">
        <f t="shared" si="41"/>
        <v>44.45</v>
      </c>
      <c r="H341" s="47">
        <v>169.9</v>
      </c>
      <c r="I341" s="16">
        <f t="shared" si="42"/>
        <v>3.8222722159730034</v>
      </c>
      <c r="J341" s="5">
        <f t="shared" si="43"/>
        <v>1</v>
      </c>
      <c r="K341" s="5">
        <v>1</v>
      </c>
      <c r="L341" s="5">
        <v>0</v>
      </c>
      <c r="M341" s="5">
        <v>0</v>
      </c>
      <c r="N341" s="48">
        <f t="shared" si="40"/>
        <v>0</v>
      </c>
      <c r="O341" s="48">
        <f t="shared" si="44"/>
        <v>169.9</v>
      </c>
      <c r="P341" s="48">
        <f t="shared" si="45"/>
        <v>169.9</v>
      </c>
      <c r="Q341" s="48">
        <f t="shared" si="46"/>
        <v>44.45</v>
      </c>
      <c r="R341" s="5" t="s">
        <v>682</v>
      </c>
      <c r="S341" s="5" t="s">
        <v>683</v>
      </c>
      <c r="V341" s="44">
        <f t="shared" si="47"/>
        <v>0</v>
      </c>
    </row>
    <row r="342" spans="1:22" x14ac:dyDescent="0.2">
      <c r="A342" s="53" t="s">
        <v>476</v>
      </c>
      <c r="B342" s="1" t="s">
        <v>477</v>
      </c>
      <c r="C342" s="5" t="s">
        <v>201</v>
      </c>
      <c r="E342" s="47">
        <v>39.950000000000003</v>
      </c>
      <c r="G342" s="47">
        <f t="shared" si="41"/>
        <v>39.950000000000003</v>
      </c>
      <c r="H342" s="47">
        <v>159.9</v>
      </c>
      <c r="I342" s="16">
        <f t="shared" si="42"/>
        <v>4.0025031289111386</v>
      </c>
      <c r="J342" s="5">
        <f t="shared" si="43"/>
        <v>0</v>
      </c>
      <c r="K342" s="5">
        <v>0</v>
      </c>
      <c r="L342" s="5">
        <v>0</v>
      </c>
      <c r="M342" s="5">
        <v>0</v>
      </c>
      <c r="N342" s="48">
        <f t="shared" si="40"/>
        <v>0</v>
      </c>
      <c r="O342" s="48">
        <f t="shared" si="44"/>
        <v>0</v>
      </c>
      <c r="P342" s="48">
        <f t="shared" si="45"/>
        <v>0</v>
      </c>
      <c r="Q342" s="48">
        <f t="shared" si="46"/>
        <v>0</v>
      </c>
      <c r="R342" s="5" t="s">
        <v>682</v>
      </c>
      <c r="S342" s="5" t="s">
        <v>683</v>
      </c>
      <c r="V342" s="44">
        <f t="shared" si="47"/>
        <v>0</v>
      </c>
    </row>
    <row r="343" spans="1:22" x14ac:dyDescent="0.2">
      <c r="A343" s="53" t="s">
        <v>478</v>
      </c>
      <c r="B343" s="1" t="s">
        <v>479</v>
      </c>
      <c r="C343" s="5" t="s">
        <v>201</v>
      </c>
      <c r="E343" s="47">
        <v>47.45</v>
      </c>
      <c r="G343" s="47">
        <f t="shared" si="41"/>
        <v>47.45</v>
      </c>
      <c r="H343" s="47">
        <v>169.9</v>
      </c>
      <c r="I343" s="16">
        <f t="shared" si="42"/>
        <v>3.5806111696522653</v>
      </c>
      <c r="J343" s="5">
        <f t="shared" si="43"/>
        <v>1</v>
      </c>
      <c r="K343" s="5">
        <v>0</v>
      </c>
      <c r="L343" s="5">
        <v>1</v>
      </c>
      <c r="M343" s="5">
        <v>0</v>
      </c>
      <c r="N343" s="48">
        <f t="shared" si="40"/>
        <v>169.9</v>
      </c>
      <c r="O343" s="48">
        <f t="shared" si="44"/>
        <v>0</v>
      </c>
      <c r="P343" s="48">
        <f t="shared" si="45"/>
        <v>169.9</v>
      </c>
      <c r="Q343" s="48">
        <f t="shared" si="46"/>
        <v>47.45</v>
      </c>
      <c r="R343" s="5" t="s">
        <v>682</v>
      </c>
      <c r="S343" s="5" t="s">
        <v>683</v>
      </c>
      <c r="V343" s="44">
        <f t="shared" si="47"/>
        <v>169.9</v>
      </c>
    </row>
    <row r="344" spans="1:22" x14ac:dyDescent="0.2">
      <c r="A344" s="53" t="s">
        <v>480</v>
      </c>
      <c r="B344" s="1" t="s">
        <v>481</v>
      </c>
      <c r="C344" s="5" t="s">
        <v>201</v>
      </c>
      <c r="E344" s="47">
        <v>47.45</v>
      </c>
      <c r="G344" s="47">
        <f t="shared" si="41"/>
        <v>47.45</v>
      </c>
      <c r="H344" s="47">
        <v>169.9</v>
      </c>
      <c r="I344" s="16">
        <f t="shared" si="42"/>
        <v>3.5806111696522653</v>
      </c>
      <c r="J344" s="5">
        <f t="shared" si="43"/>
        <v>0</v>
      </c>
      <c r="K344" s="5">
        <v>0</v>
      </c>
      <c r="L344" s="5">
        <v>0</v>
      </c>
      <c r="M344" s="5">
        <v>0</v>
      </c>
      <c r="N344" s="48">
        <f t="shared" si="40"/>
        <v>0</v>
      </c>
      <c r="O344" s="48">
        <f t="shared" si="44"/>
        <v>0</v>
      </c>
      <c r="P344" s="48">
        <f t="shared" si="45"/>
        <v>0</v>
      </c>
      <c r="Q344" s="48">
        <f t="shared" si="46"/>
        <v>0</v>
      </c>
      <c r="R344" s="5" t="s">
        <v>682</v>
      </c>
      <c r="S344" s="5" t="s">
        <v>683</v>
      </c>
      <c r="V344" s="44">
        <f t="shared" si="47"/>
        <v>0</v>
      </c>
    </row>
    <row r="345" spans="1:22" x14ac:dyDescent="0.2">
      <c r="A345" s="53" t="s">
        <v>482</v>
      </c>
      <c r="B345" s="1" t="s">
        <v>483</v>
      </c>
      <c r="C345" s="5" t="s">
        <v>201</v>
      </c>
      <c r="E345" s="47">
        <v>29.95</v>
      </c>
      <c r="G345" s="47">
        <f t="shared" si="41"/>
        <v>29.95</v>
      </c>
      <c r="H345" s="47">
        <v>139.9</v>
      </c>
      <c r="I345" s="16">
        <f t="shared" si="42"/>
        <v>4.671118530884808</v>
      </c>
      <c r="J345" s="5">
        <f t="shared" si="43"/>
        <v>0</v>
      </c>
      <c r="K345" s="5">
        <v>0</v>
      </c>
      <c r="L345" s="5">
        <v>0</v>
      </c>
      <c r="M345" s="5">
        <v>0</v>
      </c>
      <c r="N345" s="48">
        <f t="shared" si="40"/>
        <v>0</v>
      </c>
      <c r="O345" s="48">
        <f t="shared" si="44"/>
        <v>0</v>
      </c>
      <c r="P345" s="48">
        <f t="shared" si="45"/>
        <v>0</v>
      </c>
      <c r="Q345" s="48">
        <f t="shared" si="46"/>
        <v>0</v>
      </c>
      <c r="R345" s="5" t="s">
        <v>682</v>
      </c>
      <c r="S345" s="5" t="s">
        <v>683</v>
      </c>
      <c r="V345" s="44">
        <f t="shared" si="47"/>
        <v>0</v>
      </c>
    </row>
    <row r="346" spans="1:22" x14ac:dyDescent="0.2">
      <c r="A346" s="53" t="s">
        <v>484</v>
      </c>
      <c r="B346" s="1" t="s">
        <v>485</v>
      </c>
      <c r="C346" s="5" t="s">
        <v>49</v>
      </c>
      <c r="E346" s="47">
        <v>12.95</v>
      </c>
      <c r="G346" s="47">
        <f t="shared" si="41"/>
        <v>12.95</v>
      </c>
      <c r="H346" s="47">
        <v>74.900000000000006</v>
      </c>
      <c r="I346" s="16">
        <f t="shared" si="42"/>
        <v>5.7837837837837842</v>
      </c>
      <c r="J346" s="5">
        <f t="shared" si="43"/>
        <v>1</v>
      </c>
      <c r="K346" s="5">
        <v>0</v>
      </c>
      <c r="L346" s="5">
        <v>1</v>
      </c>
      <c r="M346" s="5">
        <v>0</v>
      </c>
      <c r="N346" s="48">
        <f t="shared" si="40"/>
        <v>74.900000000000006</v>
      </c>
      <c r="O346" s="48">
        <f t="shared" si="44"/>
        <v>0</v>
      </c>
      <c r="P346" s="48">
        <f t="shared" si="45"/>
        <v>74.900000000000006</v>
      </c>
      <c r="Q346" s="48">
        <f t="shared" si="46"/>
        <v>12.95</v>
      </c>
      <c r="R346" s="5" t="s">
        <v>682</v>
      </c>
      <c r="S346" s="5" t="s">
        <v>683</v>
      </c>
      <c r="V346" s="44">
        <f t="shared" si="47"/>
        <v>74.900000000000006</v>
      </c>
    </row>
    <row r="347" spans="1:22" x14ac:dyDescent="0.2">
      <c r="A347" s="53" t="s">
        <v>486</v>
      </c>
      <c r="B347" s="1" t="s">
        <v>487</v>
      </c>
      <c r="C347" s="5" t="s">
        <v>201</v>
      </c>
      <c r="E347" s="47">
        <v>34.950000000000003</v>
      </c>
      <c r="G347" s="47">
        <f t="shared" si="41"/>
        <v>34.950000000000003</v>
      </c>
      <c r="H347" s="47">
        <v>139.9</v>
      </c>
      <c r="I347" s="16">
        <f t="shared" si="42"/>
        <v>4.0028612303290414</v>
      </c>
      <c r="J347" s="5">
        <f t="shared" si="43"/>
        <v>0</v>
      </c>
      <c r="K347" s="5">
        <v>0</v>
      </c>
      <c r="L347" s="5">
        <v>0</v>
      </c>
      <c r="M347" s="5">
        <v>0</v>
      </c>
      <c r="N347" s="48">
        <f t="shared" si="40"/>
        <v>0</v>
      </c>
      <c r="O347" s="48">
        <f t="shared" si="44"/>
        <v>0</v>
      </c>
      <c r="P347" s="48">
        <f t="shared" si="45"/>
        <v>0</v>
      </c>
      <c r="Q347" s="48">
        <f t="shared" si="46"/>
        <v>0</v>
      </c>
      <c r="R347" s="5" t="s">
        <v>682</v>
      </c>
      <c r="S347" s="5" t="s">
        <v>683</v>
      </c>
      <c r="V347" s="44">
        <f t="shared" si="47"/>
        <v>0</v>
      </c>
    </row>
    <row r="348" spans="1:22" x14ac:dyDescent="0.2">
      <c r="A348" s="53" t="s">
        <v>488</v>
      </c>
      <c r="B348" s="1" t="s">
        <v>489</v>
      </c>
      <c r="C348" s="5" t="s">
        <v>201</v>
      </c>
      <c r="E348" s="47">
        <v>39.950000000000003</v>
      </c>
      <c r="G348" s="47">
        <f t="shared" si="41"/>
        <v>39.950000000000003</v>
      </c>
      <c r="H348" s="47">
        <v>159.9</v>
      </c>
      <c r="I348" s="16">
        <f t="shared" si="42"/>
        <v>4.0025031289111386</v>
      </c>
      <c r="J348" s="5">
        <f t="shared" si="43"/>
        <v>0</v>
      </c>
      <c r="K348" s="5">
        <v>0</v>
      </c>
      <c r="L348" s="5">
        <v>0</v>
      </c>
      <c r="M348" s="5">
        <v>0</v>
      </c>
      <c r="N348" s="48">
        <f t="shared" si="40"/>
        <v>0</v>
      </c>
      <c r="O348" s="48">
        <f t="shared" si="44"/>
        <v>0</v>
      </c>
      <c r="P348" s="48">
        <f t="shared" si="45"/>
        <v>0</v>
      </c>
      <c r="Q348" s="48">
        <f t="shared" si="46"/>
        <v>0</v>
      </c>
      <c r="R348" s="5" t="s">
        <v>682</v>
      </c>
      <c r="S348" s="5" t="s">
        <v>683</v>
      </c>
      <c r="V348" s="44">
        <f t="shared" si="47"/>
        <v>0</v>
      </c>
    </row>
    <row r="349" spans="1:22" x14ac:dyDescent="0.2">
      <c r="A349" s="53" t="s">
        <v>490</v>
      </c>
      <c r="B349" s="1" t="s">
        <v>491</v>
      </c>
      <c r="C349" s="5" t="s">
        <v>201</v>
      </c>
      <c r="E349" s="47">
        <v>39.950000000000003</v>
      </c>
      <c r="G349" s="47">
        <f t="shared" si="41"/>
        <v>39.950000000000003</v>
      </c>
      <c r="H349" s="47">
        <v>159.9</v>
      </c>
      <c r="I349" s="16">
        <f t="shared" si="42"/>
        <v>4.0025031289111386</v>
      </c>
      <c r="J349" s="5">
        <f t="shared" si="43"/>
        <v>0</v>
      </c>
      <c r="K349" s="5">
        <v>0</v>
      </c>
      <c r="L349" s="5">
        <v>0</v>
      </c>
      <c r="M349" s="5">
        <v>0</v>
      </c>
      <c r="N349" s="48">
        <f t="shared" si="40"/>
        <v>0</v>
      </c>
      <c r="O349" s="48">
        <f t="shared" si="44"/>
        <v>0</v>
      </c>
      <c r="P349" s="48">
        <f t="shared" si="45"/>
        <v>0</v>
      </c>
      <c r="Q349" s="48">
        <f t="shared" si="46"/>
        <v>0</v>
      </c>
      <c r="R349" s="5" t="s">
        <v>682</v>
      </c>
      <c r="S349" s="5" t="s">
        <v>683</v>
      </c>
      <c r="V349" s="44">
        <f t="shared" si="47"/>
        <v>0</v>
      </c>
    </row>
    <row r="350" spans="1:22" x14ac:dyDescent="0.2">
      <c r="A350" s="53" t="s">
        <v>492</v>
      </c>
      <c r="B350" s="1" t="s">
        <v>493</v>
      </c>
      <c r="C350" s="5" t="s">
        <v>360</v>
      </c>
      <c r="E350" s="47">
        <v>18.95</v>
      </c>
      <c r="G350" s="47">
        <f t="shared" si="41"/>
        <v>18.95</v>
      </c>
      <c r="H350" s="47">
        <v>89.9</v>
      </c>
      <c r="I350" s="16">
        <f t="shared" si="42"/>
        <v>4.7440633245382591</v>
      </c>
      <c r="J350" s="5">
        <f t="shared" si="43"/>
        <v>1</v>
      </c>
      <c r="K350" s="5">
        <v>0</v>
      </c>
      <c r="L350" s="5">
        <v>1</v>
      </c>
      <c r="M350" s="5">
        <v>0</v>
      </c>
      <c r="N350" s="48">
        <f t="shared" si="40"/>
        <v>89.9</v>
      </c>
      <c r="O350" s="48">
        <f t="shared" si="44"/>
        <v>0</v>
      </c>
      <c r="P350" s="48">
        <f t="shared" si="45"/>
        <v>89.9</v>
      </c>
      <c r="Q350" s="48">
        <f t="shared" si="46"/>
        <v>18.95</v>
      </c>
      <c r="R350" s="5" t="s">
        <v>682</v>
      </c>
      <c r="S350" s="5" t="s">
        <v>683</v>
      </c>
      <c r="V350" s="44">
        <f t="shared" si="47"/>
        <v>89.9</v>
      </c>
    </row>
    <row r="351" spans="1:22" x14ac:dyDescent="0.2">
      <c r="A351" s="53" t="s">
        <v>494</v>
      </c>
      <c r="B351" s="1" t="s">
        <v>495</v>
      </c>
      <c r="C351" s="5" t="s">
        <v>49</v>
      </c>
      <c r="E351" s="47">
        <v>6.25</v>
      </c>
      <c r="G351" s="47">
        <f t="shared" si="41"/>
        <v>6.25</v>
      </c>
      <c r="H351" s="47">
        <v>54.9</v>
      </c>
      <c r="I351" s="16">
        <f t="shared" si="42"/>
        <v>8.7839999999999989</v>
      </c>
      <c r="J351" s="5">
        <f t="shared" si="43"/>
        <v>1</v>
      </c>
      <c r="K351" s="5">
        <v>0</v>
      </c>
      <c r="L351" s="5">
        <v>1</v>
      </c>
      <c r="M351" s="5">
        <v>0</v>
      </c>
      <c r="N351" s="48">
        <f t="shared" si="40"/>
        <v>54.9</v>
      </c>
      <c r="O351" s="48">
        <f t="shared" si="44"/>
        <v>0</v>
      </c>
      <c r="P351" s="48">
        <f t="shared" si="45"/>
        <v>54.9</v>
      </c>
      <c r="Q351" s="48">
        <f t="shared" si="46"/>
        <v>6.25</v>
      </c>
      <c r="R351" s="5" t="s">
        <v>682</v>
      </c>
      <c r="S351" s="5" t="s">
        <v>683</v>
      </c>
      <c r="V351" s="44">
        <f t="shared" si="47"/>
        <v>54.9</v>
      </c>
    </row>
    <row r="352" spans="1:22" x14ac:dyDescent="0.2">
      <c r="A352" s="53" t="s">
        <v>496</v>
      </c>
      <c r="B352" s="1" t="s">
        <v>497</v>
      </c>
      <c r="C352" s="5" t="s">
        <v>49</v>
      </c>
      <c r="E352" s="47">
        <v>7.5</v>
      </c>
      <c r="G352" s="47">
        <f t="shared" si="41"/>
        <v>7.5</v>
      </c>
      <c r="H352" s="47">
        <v>59.9</v>
      </c>
      <c r="I352" s="16">
        <f t="shared" si="42"/>
        <v>7.9866666666666664</v>
      </c>
      <c r="J352" s="5">
        <f t="shared" si="43"/>
        <v>1</v>
      </c>
      <c r="K352" s="5">
        <v>0</v>
      </c>
      <c r="L352" s="5">
        <v>1</v>
      </c>
      <c r="M352" s="5">
        <v>0</v>
      </c>
      <c r="N352" s="48">
        <f t="shared" si="40"/>
        <v>59.9</v>
      </c>
      <c r="O352" s="48">
        <f t="shared" si="44"/>
        <v>0</v>
      </c>
      <c r="P352" s="48">
        <f t="shared" si="45"/>
        <v>59.9</v>
      </c>
      <c r="Q352" s="48">
        <f t="shared" si="46"/>
        <v>7.5</v>
      </c>
      <c r="R352" s="5" t="s">
        <v>682</v>
      </c>
      <c r="S352" s="5" t="s">
        <v>683</v>
      </c>
      <c r="V352" s="44">
        <f t="shared" si="47"/>
        <v>59.9</v>
      </c>
    </row>
    <row r="353" spans="1:22" x14ac:dyDescent="0.2">
      <c r="A353" s="53" t="s">
        <v>498</v>
      </c>
      <c r="B353" s="1" t="s">
        <v>499</v>
      </c>
      <c r="C353" s="5" t="s">
        <v>49</v>
      </c>
      <c r="E353" s="47">
        <v>28.95</v>
      </c>
      <c r="G353" s="47">
        <f t="shared" si="41"/>
        <v>28.95</v>
      </c>
      <c r="H353" s="47">
        <v>79.900000000000006</v>
      </c>
      <c r="I353" s="16">
        <f t="shared" si="42"/>
        <v>2.7599309153713301</v>
      </c>
      <c r="J353" s="5">
        <f t="shared" si="43"/>
        <v>1</v>
      </c>
      <c r="K353" s="5">
        <v>0</v>
      </c>
      <c r="L353" s="5">
        <v>1</v>
      </c>
      <c r="M353" s="5">
        <v>0</v>
      </c>
      <c r="N353" s="48">
        <f t="shared" si="40"/>
        <v>79.900000000000006</v>
      </c>
      <c r="O353" s="48">
        <f t="shared" si="44"/>
        <v>0</v>
      </c>
      <c r="P353" s="48">
        <f t="shared" si="45"/>
        <v>79.900000000000006</v>
      </c>
      <c r="Q353" s="48">
        <f t="shared" si="46"/>
        <v>28.95</v>
      </c>
      <c r="R353" s="5" t="s">
        <v>682</v>
      </c>
      <c r="S353" s="5" t="s">
        <v>683</v>
      </c>
      <c r="V353" s="44">
        <f t="shared" si="47"/>
        <v>79.900000000000006</v>
      </c>
    </row>
    <row r="354" spans="1:22" x14ac:dyDescent="0.2">
      <c r="A354" s="53" t="s">
        <v>500</v>
      </c>
      <c r="B354" s="1" t="s">
        <v>501</v>
      </c>
      <c r="C354" s="5" t="s">
        <v>49</v>
      </c>
      <c r="E354" s="47">
        <v>20.45</v>
      </c>
      <c r="G354" s="47">
        <f t="shared" si="41"/>
        <v>20.45</v>
      </c>
      <c r="H354" s="47">
        <v>89.9</v>
      </c>
      <c r="I354" s="16">
        <f t="shared" si="42"/>
        <v>4.3960880195599028</v>
      </c>
      <c r="J354" s="5">
        <f t="shared" si="43"/>
        <v>1</v>
      </c>
      <c r="K354" s="5">
        <v>1</v>
      </c>
      <c r="L354" s="5">
        <v>0</v>
      </c>
      <c r="M354" s="5">
        <v>0</v>
      </c>
      <c r="N354" s="48">
        <f t="shared" si="40"/>
        <v>0</v>
      </c>
      <c r="O354" s="48">
        <f t="shared" si="44"/>
        <v>89.9</v>
      </c>
      <c r="P354" s="48">
        <f t="shared" si="45"/>
        <v>89.9</v>
      </c>
      <c r="Q354" s="48">
        <f t="shared" si="46"/>
        <v>20.45</v>
      </c>
      <c r="R354" s="5" t="s">
        <v>682</v>
      </c>
      <c r="S354" s="5" t="s">
        <v>683</v>
      </c>
      <c r="V354" s="44">
        <f t="shared" si="47"/>
        <v>0</v>
      </c>
    </row>
    <row r="355" spans="1:22" x14ac:dyDescent="0.2">
      <c r="A355" s="53" t="s">
        <v>502</v>
      </c>
      <c r="B355" s="1" t="s">
        <v>503</v>
      </c>
      <c r="C355" s="5" t="s">
        <v>49</v>
      </c>
      <c r="E355" s="47">
        <v>7.5</v>
      </c>
      <c r="G355" s="47">
        <f t="shared" si="41"/>
        <v>7.5</v>
      </c>
      <c r="H355" s="47">
        <v>39.9</v>
      </c>
      <c r="I355" s="16">
        <f t="shared" si="42"/>
        <v>5.3199999999999994</v>
      </c>
      <c r="J355" s="5">
        <f t="shared" si="43"/>
        <v>3</v>
      </c>
      <c r="K355" s="5">
        <v>1</v>
      </c>
      <c r="L355" s="5">
        <v>2</v>
      </c>
      <c r="M355" s="5">
        <v>0</v>
      </c>
      <c r="N355" s="48">
        <f t="shared" si="40"/>
        <v>79.8</v>
      </c>
      <c r="O355" s="48">
        <f t="shared" si="44"/>
        <v>39.9</v>
      </c>
      <c r="P355" s="48">
        <f t="shared" si="45"/>
        <v>119.69999999999999</v>
      </c>
      <c r="Q355" s="48">
        <f t="shared" si="46"/>
        <v>22.5</v>
      </c>
      <c r="R355" s="5" t="s">
        <v>682</v>
      </c>
      <c r="S355" s="5" t="s">
        <v>683</v>
      </c>
      <c r="V355" s="44">
        <f t="shared" si="47"/>
        <v>79.8</v>
      </c>
    </row>
    <row r="356" spans="1:22" x14ac:dyDescent="0.2">
      <c r="A356" s="53" t="s">
        <v>504</v>
      </c>
      <c r="B356" s="1" t="s">
        <v>505</v>
      </c>
      <c r="C356" s="5" t="s">
        <v>49</v>
      </c>
      <c r="E356" s="47">
        <v>37.950000000000003</v>
      </c>
      <c r="G356" s="47">
        <f t="shared" si="41"/>
        <v>37.950000000000003</v>
      </c>
      <c r="H356" s="47">
        <v>119.9</v>
      </c>
      <c r="I356" s="16">
        <f t="shared" si="42"/>
        <v>3.1594202898550723</v>
      </c>
      <c r="J356" s="5">
        <f t="shared" si="43"/>
        <v>0</v>
      </c>
      <c r="K356" s="5">
        <v>0</v>
      </c>
      <c r="L356" s="5">
        <v>0</v>
      </c>
      <c r="M356" s="5">
        <v>0</v>
      </c>
      <c r="N356" s="48">
        <f t="shared" si="40"/>
        <v>0</v>
      </c>
      <c r="O356" s="48">
        <f t="shared" si="44"/>
        <v>0</v>
      </c>
      <c r="P356" s="48">
        <f t="shared" si="45"/>
        <v>0</v>
      </c>
      <c r="Q356" s="48">
        <f t="shared" si="46"/>
        <v>0</v>
      </c>
      <c r="R356" s="5" t="s">
        <v>682</v>
      </c>
      <c r="S356" s="5" t="s">
        <v>683</v>
      </c>
      <c r="V356" s="44">
        <f t="shared" si="47"/>
        <v>0</v>
      </c>
    </row>
    <row r="357" spans="1:22" x14ac:dyDescent="0.2">
      <c r="A357" s="53" t="s">
        <v>506</v>
      </c>
      <c r="B357" s="1" t="s">
        <v>507</v>
      </c>
      <c r="C357" s="5" t="s">
        <v>201</v>
      </c>
      <c r="E357" s="47">
        <v>34.950000000000003</v>
      </c>
      <c r="G357" s="47">
        <f t="shared" si="41"/>
        <v>34.950000000000003</v>
      </c>
      <c r="H357" s="47">
        <v>169.9</v>
      </c>
      <c r="I357" s="16">
        <f t="shared" si="42"/>
        <v>4.8612303290414873</v>
      </c>
      <c r="J357" s="5">
        <f t="shared" si="43"/>
        <v>1</v>
      </c>
      <c r="K357" s="5">
        <v>1</v>
      </c>
      <c r="L357" s="5">
        <v>0</v>
      </c>
      <c r="M357" s="5">
        <v>0</v>
      </c>
      <c r="N357" s="48">
        <f t="shared" si="40"/>
        <v>0</v>
      </c>
      <c r="O357" s="48">
        <f t="shared" si="44"/>
        <v>169.9</v>
      </c>
      <c r="P357" s="48">
        <f t="shared" si="45"/>
        <v>169.9</v>
      </c>
      <c r="Q357" s="48">
        <f t="shared" si="46"/>
        <v>34.950000000000003</v>
      </c>
      <c r="R357" s="5" t="s">
        <v>682</v>
      </c>
      <c r="S357" s="5" t="s">
        <v>683</v>
      </c>
      <c r="V357" s="44">
        <f t="shared" si="47"/>
        <v>0</v>
      </c>
    </row>
    <row r="358" spans="1:22" x14ac:dyDescent="0.2">
      <c r="A358" s="53" t="s">
        <v>508</v>
      </c>
      <c r="B358" s="1" t="s">
        <v>509</v>
      </c>
      <c r="C358" s="5" t="s">
        <v>201</v>
      </c>
      <c r="E358" s="47">
        <v>34.950000000000003</v>
      </c>
      <c r="G358" s="47">
        <f t="shared" si="41"/>
        <v>34.950000000000003</v>
      </c>
      <c r="H358" s="47">
        <v>169.9</v>
      </c>
      <c r="I358" s="16">
        <f t="shared" si="42"/>
        <v>4.8612303290414873</v>
      </c>
      <c r="J358" s="5">
        <f t="shared" si="43"/>
        <v>1</v>
      </c>
      <c r="K358" s="5">
        <v>0</v>
      </c>
      <c r="L358" s="5">
        <v>1</v>
      </c>
      <c r="M358" s="5">
        <v>0</v>
      </c>
      <c r="N358" s="48">
        <f t="shared" si="40"/>
        <v>169.9</v>
      </c>
      <c r="O358" s="48">
        <f t="shared" si="44"/>
        <v>0</v>
      </c>
      <c r="P358" s="48">
        <f t="shared" si="45"/>
        <v>169.9</v>
      </c>
      <c r="Q358" s="48">
        <f t="shared" si="46"/>
        <v>34.950000000000003</v>
      </c>
      <c r="R358" s="5" t="s">
        <v>682</v>
      </c>
      <c r="S358" s="5" t="s">
        <v>683</v>
      </c>
      <c r="V358" s="44">
        <f t="shared" si="47"/>
        <v>169.9</v>
      </c>
    </row>
    <row r="359" spans="1:22" x14ac:dyDescent="0.2">
      <c r="A359" s="53" t="s">
        <v>510</v>
      </c>
      <c r="B359" s="1" t="s">
        <v>511</v>
      </c>
      <c r="C359" s="5" t="s">
        <v>201</v>
      </c>
      <c r="E359" s="47">
        <v>34.950000000000003</v>
      </c>
      <c r="G359" s="47">
        <f t="shared" si="41"/>
        <v>34.950000000000003</v>
      </c>
      <c r="H359" s="47">
        <v>169.9</v>
      </c>
      <c r="I359" s="16">
        <f t="shared" si="42"/>
        <v>4.8612303290414873</v>
      </c>
      <c r="J359" s="5">
        <f t="shared" si="43"/>
        <v>1</v>
      </c>
      <c r="K359" s="5">
        <v>0</v>
      </c>
      <c r="L359" s="5">
        <v>1</v>
      </c>
      <c r="M359" s="5">
        <v>0</v>
      </c>
      <c r="N359" s="48">
        <f t="shared" si="40"/>
        <v>169.9</v>
      </c>
      <c r="O359" s="48">
        <f t="shared" si="44"/>
        <v>0</v>
      </c>
      <c r="P359" s="48">
        <f t="shared" si="45"/>
        <v>169.9</v>
      </c>
      <c r="Q359" s="48">
        <f t="shared" si="46"/>
        <v>34.950000000000003</v>
      </c>
      <c r="R359" s="5" t="s">
        <v>682</v>
      </c>
      <c r="S359" s="5" t="s">
        <v>683</v>
      </c>
      <c r="V359" s="44">
        <f t="shared" si="47"/>
        <v>169.9</v>
      </c>
    </row>
    <row r="360" spans="1:22" x14ac:dyDescent="0.2">
      <c r="A360" s="53" t="s">
        <v>512</v>
      </c>
      <c r="B360" s="1" t="s">
        <v>513</v>
      </c>
      <c r="C360" s="5" t="s">
        <v>201</v>
      </c>
      <c r="E360" s="47">
        <v>34.950000000000003</v>
      </c>
      <c r="G360" s="47">
        <f t="shared" si="41"/>
        <v>34.950000000000003</v>
      </c>
      <c r="H360" s="47">
        <v>169.9</v>
      </c>
      <c r="I360" s="16">
        <f t="shared" si="42"/>
        <v>4.8612303290414873</v>
      </c>
      <c r="J360" s="5">
        <f t="shared" si="43"/>
        <v>1</v>
      </c>
      <c r="K360" s="5">
        <v>0</v>
      </c>
      <c r="L360" s="5">
        <v>1</v>
      </c>
      <c r="M360" s="5">
        <v>0</v>
      </c>
      <c r="N360" s="48">
        <f t="shared" si="40"/>
        <v>169.9</v>
      </c>
      <c r="O360" s="48">
        <f t="shared" si="44"/>
        <v>0</v>
      </c>
      <c r="P360" s="48">
        <f t="shared" si="45"/>
        <v>169.9</v>
      </c>
      <c r="Q360" s="48">
        <f t="shared" si="46"/>
        <v>34.950000000000003</v>
      </c>
      <c r="R360" s="5" t="s">
        <v>682</v>
      </c>
      <c r="S360" s="5" t="s">
        <v>683</v>
      </c>
      <c r="V360" s="44">
        <f t="shared" si="47"/>
        <v>169.9</v>
      </c>
    </row>
    <row r="361" spans="1:22" x14ac:dyDescent="0.2">
      <c r="A361" s="53" t="s">
        <v>514</v>
      </c>
      <c r="B361" s="1" t="s">
        <v>515</v>
      </c>
      <c r="C361" s="5" t="s">
        <v>49</v>
      </c>
      <c r="E361" s="47">
        <v>34.950000000000003</v>
      </c>
      <c r="G361" s="47">
        <f t="shared" si="41"/>
        <v>34.950000000000003</v>
      </c>
      <c r="H361" s="47">
        <v>104.9</v>
      </c>
      <c r="I361" s="16">
        <f t="shared" si="42"/>
        <v>3.0014306151645207</v>
      </c>
      <c r="J361" s="5">
        <f t="shared" si="43"/>
        <v>0</v>
      </c>
      <c r="K361" s="5">
        <v>0</v>
      </c>
      <c r="L361" s="5">
        <v>0</v>
      </c>
      <c r="M361" s="5">
        <v>0</v>
      </c>
      <c r="N361" s="48">
        <f t="shared" si="40"/>
        <v>0</v>
      </c>
      <c r="O361" s="48">
        <f t="shared" si="44"/>
        <v>0</v>
      </c>
      <c r="P361" s="48">
        <f t="shared" si="45"/>
        <v>0</v>
      </c>
      <c r="Q361" s="48">
        <f t="shared" si="46"/>
        <v>0</v>
      </c>
      <c r="R361" s="5" t="s">
        <v>682</v>
      </c>
      <c r="S361" s="5" t="s">
        <v>683</v>
      </c>
      <c r="V361" s="44">
        <f t="shared" si="47"/>
        <v>0</v>
      </c>
    </row>
    <row r="362" spans="1:22" x14ac:dyDescent="0.2">
      <c r="A362" s="53" t="s">
        <v>516</v>
      </c>
      <c r="B362" s="1" t="s">
        <v>517</v>
      </c>
      <c r="C362" s="5" t="s">
        <v>49</v>
      </c>
      <c r="E362" s="47">
        <v>13.95</v>
      </c>
      <c r="G362" s="47">
        <f t="shared" si="41"/>
        <v>13.95</v>
      </c>
      <c r="H362" s="47">
        <v>74.900000000000006</v>
      </c>
      <c r="I362" s="16">
        <f t="shared" si="42"/>
        <v>5.3691756272401436</v>
      </c>
      <c r="J362" s="5">
        <f t="shared" si="43"/>
        <v>0</v>
      </c>
      <c r="K362" s="5">
        <v>0</v>
      </c>
      <c r="L362" s="5">
        <v>0</v>
      </c>
      <c r="M362" s="5">
        <v>0</v>
      </c>
      <c r="N362" s="48">
        <f t="shared" si="40"/>
        <v>0</v>
      </c>
      <c r="O362" s="48">
        <f t="shared" si="44"/>
        <v>0</v>
      </c>
      <c r="P362" s="48">
        <f t="shared" si="45"/>
        <v>0</v>
      </c>
      <c r="Q362" s="48">
        <f t="shared" si="46"/>
        <v>0</v>
      </c>
      <c r="R362" s="5" t="s">
        <v>682</v>
      </c>
      <c r="S362" s="5" t="s">
        <v>683</v>
      </c>
      <c r="V362" s="44">
        <f t="shared" si="47"/>
        <v>0</v>
      </c>
    </row>
    <row r="363" spans="1:22" x14ac:dyDescent="0.2">
      <c r="A363" s="53" t="s">
        <v>518</v>
      </c>
      <c r="B363" s="1" t="s">
        <v>519</v>
      </c>
      <c r="C363" s="5" t="s">
        <v>49</v>
      </c>
      <c r="E363" s="47">
        <v>49.95</v>
      </c>
      <c r="G363" s="47">
        <f t="shared" si="41"/>
        <v>49.95</v>
      </c>
      <c r="H363" s="47">
        <v>169.9</v>
      </c>
      <c r="I363" s="16">
        <f t="shared" si="42"/>
        <v>3.4014014014014013</v>
      </c>
      <c r="J363" s="5">
        <f t="shared" si="43"/>
        <v>1</v>
      </c>
      <c r="K363" s="5">
        <v>1</v>
      </c>
      <c r="L363" s="5">
        <v>0</v>
      </c>
      <c r="M363" s="5">
        <v>0</v>
      </c>
      <c r="N363" s="48">
        <f t="shared" si="40"/>
        <v>0</v>
      </c>
      <c r="O363" s="48">
        <f t="shared" si="44"/>
        <v>169.9</v>
      </c>
      <c r="P363" s="48">
        <f t="shared" si="45"/>
        <v>169.9</v>
      </c>
      <c r="Q363" s="48">
        <f t="shared" si="46"/>
        <v>49.95</v>
      </c>
      <c r="R363" s="5" t="s">
        <v>682</v>
      </c>
      <c r="S363" s="5" t="s">
        <v>683</v>
      </c>
      <c r="V363" s="44">
        <f t="shared" si="47"/>
        <v>0</v>
      </c>
    </row>
    <row r="364" spans="1:22" x14ac:dyDescent="0.2">
      <c r="A364" s="53" t="s">
        <v>520</v>
      </c>
      <c r="B364" s="1" t="s">
        <v>521</v>
      </c>
      <c r="C364" s="5" t="s">
        <v>49</v>
      </c>
      <c r="E364" s="47">
        <v>15.45</v>
      </c>
      <c r="G364" s="47">
        <f t="shared" si="41"/>
        <v>15.45</v>
      </c>
      <c r="H364" s="47">
        <v>79.900000000000006</v>
      </c>
      <c r="I364" s="16">
        <f t="shared" si="42"/>
        <v>5.1715210355987065</v>
      </c>
      <c r="J364" s="5">
        <f t="shared" si="43"/>
        <v>1</v>
      </c>
      <c r="K364" s="5">
        <v>1</v>
      </c>
      <c r="L364" s="5">
        <v>0</v>
      </c>
      <c r="M364" s="5">
        <v>0</v>
      </c>
      <c r="N364" s="48">
        <f t="shared" si="40"/>
        <v>0</v>
      </c>
      <c r="O364" s="48">
        <f t="shared" si="44"/>
        <v>79.900000000000006</v>
      </c>
      <c r="P364" s="48">
        <f t="shared" si="45"/>
        <v>79.900000000000006</v>
      </c>
      <c r="Q364" s="48">
        <f t="shared" si="46"/>
        <v>15.45</v>
      </c>
      <c r="R364" s="5" t="s">
        <v>682</v>
      </c>
      <c r="S364" s="5" t="s">
        <v>683</v>
      </c>
      <c r="V364" s="44">
        <f t="shared" si="47"/>
        <v>0</v>
      </c>
    </row>
    <row r="365" spans="1:22" x14ac:dyDescent="0.2">
      <c r="A365" s="53" t="s">
        <v>522</v>
      </c>
      <c r="B365" s="1" t="s">
        <v>523</v>
      </c>
      <c r="C365" s="5" t="s">
        <v>49</v>
      </c>
      <c r="E365" s="47">
        <v>23.45</v>
      </c>
      <c r="G365" s="47">
        <f t="shared" si="41"/>
        <v>23.45</v>
      </c>
      <c r="H365" s="47">
        <v>129.9</v>
      </c>
      <c r="I365" s="16">
        <f t="shared" si="42"/>
        <v>5.5394456289978686</v>
      </c>
      <c r="J365" s="5">
        <f t="shared" si="43"/>
        <v>1</v>
      </c>
      <c r="K365" s="5">
        <v>1</v>
      </c>
      <c r="L365" s="5">
        <v>0</v>
      </c>
      <c r="M365" s="5">
        <v>0</v>
      </c>
      <c r="N365" s="48">
        <f t="shared" si="40"/>
        <v>0</v>
      </c>
      <c r="O365" s="48">
        <f t="shared" si="44"/>
        <v>129.9</v>
      </c>
      <c r="P365" s="48">
        <f t="shared" si="45"/>
        <v>129.9</v>
      </c>
      <c r="Q365" s="48">
        <f t="shared" si="46"/>
        <v>23.45</v>
      </c>
      <c r="R365" s="5" t="s">
        <v>682</v>
      </c>
      <c r="S365" s="5" t="s">
        <v>683</v>
      </c>
      <c r="V365" s="44">
        <f t="shared" si="47"/>
        <v>0</v>
      </c>
    </row>
    <row r="366" spans="1:22" x14ac:dyDescent="0.2">
      <c r="A366" s="53" t="s">
        <v>524</v>
      </c>
      <c r="B366" s="1" t="s">
        <v>525</v>
      </c>
      <c r="C366" s="5" t="s">
        <v>360</v>
      </c>
      <c r="E366" s="47">
        <v>35.950000000000003</v>
      </c>
      <c r="G366" s="47">
        <f t="shared" si="41"/>
        <v>35.950000000000003</v>
      </c>
      <c r="H366" s="47">
        <v>149.9</v>
      </c>
      <c r="I366" s="16">
        <f t="shared" si="42"/>
        <v>4.169680111265647</v>
      </c>
      <c r="J366" s="5">
        <f t="shared" si="43"/>
        <v>0</v>
      </c>
      <c r="K366" s="5">
        <v>0</v>
      </c>
      <c r="L366" s="5">
        <v>0</v>
      </c>
      <c r="M366" s="5">
        <v>0</v>
      </c>
      <c r="N366" s="48">
        <f t="shared" si="40"/>
        <v>0</v>
      </c>
      <c r="O366" s="48">
        <f t="shared" si="44"/>
        <v>0</v>
      </c>
      <c r="P366" s="48">
        <f t="shared" si="45"/>
        <v>0</v>
      </c>
      <c r="Q366" s="48">
        <f t="shared" si="46"/>
        <v>0</v>
      </c>
      <c r="R366" s="5" t="s">
        <v>682</v>
      </c>
      <c r="S366" s="5" t="s">
        <v>683</v>
      </c>
      <c r="V366" s="44">
        <f t="shared" si="47"/>
        <v>0</v>
      </c>
    </row>
    <row r="367" spans="1:22" x14ac:dyDescent="0.2">
      <c r="A367" s="53">
        <v>764</v>
      </c>
      <c r="B367" s="1" t="s">
        <v>526</v>
      </c>
      <c r="C367" s="5" t="s">
        <v>360</v>
      </c>
      <c r="E367" s="47">
        <v>27.45</v>
      </c>
      <c r="G367" s="47">
        <f t="shared" si="41"/>
        <v>27.45</v>
      </c>
      <c r="H367" s="47">
        <v>0</v>
      </c>
      <c r="I367" s="16">
        <f t="shared" si="42"/>
        <v>0</v>
      </c>
      <c r="J367" s="5">
        <f t="shared" si="43"/>
        <v>1</v>
      </c>
      <c r="K367" s="5">
        <v>0</v>
      </c>
      <c r="L367" s="5">
        <v>1</v>
      </c>
      <c r="M367" s="5">
        <v>0</v>
      </c>
      <c r="N367" s="48">
        <f t="shared" si="40"/>
        <v>0</v>
      </c>
      <c r="O367" s="48">
        <f t="shared" si="44"/>
        <v>0</v>
      </c>
      <c r="P367" s="48">
        <f t="shared" si="45"/>
        <v>0</v>
      </c>
      <c r="Q367" s="48">
        <f t="shared" si="46"/>
        <v>27.45</v>
      </c>
      <c r="R367" s="5" t="s">
        <v>682</v>
      </c>
      <c r="S367" s="5" t="s">
        <v>683</v>
      </c>
      <c r="V367" s="44">
        <f t="shared" si="47"/>
        <v>0</v>
      </c>
    </row>
    <row r="368" spans="1:22" x14ac:dyDescent="0.2">
      <c r="A368" s="53" t="s">
        <v>527</v>
      </c>
      <c r="B368" s="1" t="s">
        <v>528</v>
      </c>
      <c r="C368" s="5" t="s">
        <v>360</v>
      </c>
      <c r="E368" s="47">
        <v>27.45</v>
      </c>
      <c r="G368" s="47">
        <f t="shared" si="41"/>
        <v>27.45</v>
      </c>
      <c r="H368" s="47">
        <v>79.900000000000006</v>
      </c>
      <c r="I368" s="16">
        <f t="shared" si="42"/>
        <v>2.9107468123861571</v>
      </c>
      <c r="J368" s="5">
        <f t="shared" si="43"/>
        <v>0</v>
      </c>
      <c r="K368" s="5">
        <v>0</v>
      </c>
      <c r="L368" s="5">
        <v>0</v>
      </c>
      <c r="M368" s="5">
        <v>0</v>
      </c>
      <c r="N368" s="48">
        <f t="shared" si="40"/>
        <v>0</v>
      </c>
      <c r="O368" s="48">
        <f t="shared" si="44"/>
        <v>0</v>
      </c>
      <c r="P368" s="48">
        <f t="shared" si="45"/>
        <v>0</v>
      </c>
      <c r="Q368" s="48">
        <f t="shared" si="46"/>
        <v>0</v>
      </c>
      <c r="R368" s="5" t="s">
        <v>682</v>
      </c>
      <c r="S368" s="5" t="s">
        <v>683</v>
      </c>
      <c r="V368" s="44">
        <f t="shared" si="47"/>
        <v>0</v>
      </c>
    </row>
    <row r="369" spans="1:22" x14ac:dyDescent="0.2">
      <c r="A369" s="53">
        <v>951012</v>
      </c>
      <c r="B369" s="1" t="s">
        <v>529</v>
      </c>
      <c r="C369" s="5" t="s">
        <v>49</v>
      </c>
      <c r="E369" s="47">
        <v>14.45</v>
      </c>
      <c r="G369" s="47">
        <f t="shared" si="41"/>
        <v>14.45</v>
      </c>
      <c r="H369" s="47">
        <v>64.900000000000006</v>
      </c>
      <c r="I369" s="16">
        <f t="shared" si="42"/>
        <v>4.491349480968859</v>
      </c>
      <c r="J369" s="5">
        <f t="shared" si="43"/>
        <v>2</v>
      </c>
      <c r="K369" s="5">
        <v>0</v>
      </c>
      <c r="L369" s="5">
        <v>2</v>
      </c>
      <c r="M369" s="5">
        <v>0</v>
      </c>
      <c r="N369" s="48">
        <f t="shared" si="40"/>
        <v>129.80000000000001</v>
      </c>
      <c r="O369" s="48">
        <f t="shared" si="44"/>
        <v>0</v>
      </c>
      <c r="P369" s="48">
        <f t="shared" si="45"/>
        <v>129.80000000000001</v>
      </c>
      <c r="Q369" s="48">
        <f t="shared" si="46"/>
        <v>28.9</v>
      </c>
      <c r="R369" s="5" t="s">
        <v>682</v>
      </c>
      <c r="S369" s="5" t="s">
        <v>683</v>
      </c>
      <c r="V369" s="44">
        <f t="shared" si="47"/>
        <v>129.80000000000001</v>
      </c>
    </row>
    <row r="370" spans="1:22" x14ac:dyDescent="0.2">
      <c r="A370" s="53">
        <v>95736</v>
      </c>
      <c r="B370" s="1" t="s">
        <v>530</v>
      </c>
      <c r="C370" s="5" t="s">
        <v>49</v>
      </c>
      <c r="E370" s="47">
        <v>13.95</v>
      </c>
      <c r="G370" s="47">
        <f t="shared" si="41"/>
        <v>13.95</v>
      </c>
      <c r="H370" s="47">
        <v>59.9</v>
      </c>
      <c r="I370" s="16">
        <f t="shared" si="42"/>
        <v>4.2939068100358426</v>
      </c>
      <c r="J370" s="5">
        <f t="shared" si="43"/>
        <v>1</v>
      </c>
      <c r="K370" s="5">
        <v>0</v>
      </c>
      <c r="L370" s="5">
        <v>1</v>
      </c>
      <c r="M370" s="5">
        <v>0</v>
      </c>
      <c r="N370" s="48">
        <f t="shared" si="40"/>
        <v>59.9</v>
      </c>
      <c r="O370" s="48">
        <f t="shared" si="44"/>
        <v>0</v>
      </c>
      <c r="P370" s="48">
        <f t="shared" si="45"/>
        <v>59.9</v>
      </c>
      <c r="Q370" s="48">
        <f t="shared" si="46"/>
        <v>13.95</v>
      </c>
      <c r="R370" s="5" t="s">
        <v>682</v>
      </c>
      <c r="S370" s="5" t="s">
        <v>683</v>
      </c>
      <c r="V370" s="44">
        <f t="shared" si="47"/>
        <v>59.9</v>
      </c>
    </row>
    <row r="371" spans="1:22" x14ac:dyDescent="0.2">
      <c r="A371" s="53" t="s">
        <v>531</v>
      </c>
      <c r="B371" s="1" t="s">
        <v>532</v>
      </c>
      <c r="C371" s="5" t="s">
        <v>49</v>
      </c>
      <c r="E371" s="47">
        <v>29.45</v>
      </c>
      <c r="G371" s="47">
        <f t="shared" si="41"/>
        <v>29.45</v>
      </c>
      <c r="H371" s="47">
        <v>97.9</v>
      </c>
      <c r="I371" s="16">
        <f t="shared" si="42"/>
        <v>3.3242784380305603</v>
      </c>
      <c r="J371" s="5">
        <f t="shared" si="43"/>
        <v>1</v>
      </c>
      <c r="K371" s="5">
        <v>1</v>
      </c>
      <c r="L371" s="5">
        <v>0</v>
      </c>
      <c r="M371" s="5">
        <v>0</v>
      </c>
      <c r="N371" s="48">
        <f t="shared" si="40"/>
        <v>0</v>
      </c>
      <c r="O371" s="48">
        <f t="shared" si="44"/>
        <v>97.9</v>
      </c>
      <c r="P371" s="48">
        <f t="shared" si="45"/>
        <v>97.9</v>
      </c>
      <c r="Q371" s="48">
        <f t="shared" si="46"/>
        <v>29.45</v>
      </c>
      <c r="R371" s="5" t="s">
        <v>682</v>
      </c>
      <c r="S371" s="5" t="s">
        <v>683</v>
      </c>
      <c r="V371" s="44">
        <f t="shared" si="47"/>
        <v>0</v>
      </c>
    </row>
    <row r="372" spans="1:22" x14ac:dyDescent="0.2">
      <c r="A372" s="53" t="s">
        <v>533</v>
      </c>
      <c r="B372" s="1" t="s">
        <v>534</v>
      </c>
      <c r="C372" s="5" t="s">
        <v>49</v>
      </c>
      <c r="E372" s="47">
        <v>34.950000000000003</v>
      </c>
      <c r="G372" s="47">
        <f t="shared" si="41"/>
        <v>34.950000000000003</v>
      </c>
      <c r="H372" s="47">
        <v>107.9</v>
      </c>
      <c r="I372" s="16">
        <f t="shared" si="42"/>
        <v>3.0872675250357653</v>
      </c>
      <c r="J372" s="5">
        <f t="shared" si="43"/>
        <v>1</v>
      </c>
      <c r="K372" s="5">
        <v>0</v>
      </c>
      <c r="L372" s="5">
        <v>1</v>
      </c>
      <c r="M372" s="5">
        <v>0</v>
      </c>
      <c r="N372" s="48">
        <f t="shared" si="40"/>
        <v>107.9</v>
      </c>
      <c r="O372" s="48">
        <f t="shared" si="44"/>
        <v>0</v>
      </c>
      <c r="P372" s="48">
        <f t="shared" si="45"/>
        <v>107.9</v>
      </c>
      <c r="Q372" s="48">
        <f t="shared" si="46"/>
        <v>34.950000000000003</v>
      </c>
      <c r="R372" s="5" t="s">
        <v>682</v>
      </c>
      <c r="S372" s="5" t="s">
        <v>683</v>
      </c>
      <c r="V372" s="44">
        <f t="shared" si="47"/>
        <v>107.9</v>
      </c>
    </row>
    <row r="373" spans="1:22" x14ac:dyDescent="0.2">
      <c r="A373" s="53" t="s">
        <v>535</v>
      </c>
      <c r="B373" s="1" t="s">
        <v>536</v>
      </c>
      <c r="C373" s="5" t="s">
        <v>49</v>
      </c>
      <c r="E373" s="47">
        <v>13.45</v>
      </c>
      <c r="G373" s="47">
        <f t="shared" si="41"/>
        <v>13.45</v>
      </c>
      <c r="H373" s="47">
        <v>59.9</v>
      </c>
      <c r="I373" s="16">
        <f t="shared" si="42"/>
        <v>4.4535315985130115</v>
      </c>
      <c r="J373" s="5">
        <f t="shared" si="43"/>
        <v>1</v>
      </c>
      <c r="K373" s="5">
        <v>0</v>
      </c>
      <c r="L373" s="5">
        <v>1</v>
      </c>
      <c r="M373" s="5">
        <v>0</v>
      </c>
      <c r="N373" s="48">
        <f t="shared" si="40"/>
        <v>59.9</v>
      </c>
      <c r="O373" s="48">
        <f t="shared" si="44"/>
        <v>0</v>
      </c>
      <c r="P373" s="48">
        <f t="shared" si="45"/>
        <v>59.9</v>
      </c>
      <c r="Q373" s="48">
        <f t="shared" si="46"/>
        <v>13.45</v>
      </c>
      <c r="R373" s="5" t="s">
        <v>682</v>
      </c>
      <c r="S373" s="5" t="s">
        <v>683</v>
      </c>
      <c r="V373" s="44">
        <f t="shared" si="47"/>
        <v>59.9</v>
      </c>
    </row>
    <row r="374" spans="1:22" x14ac:dyDescent="0.2">
      <c r="A374" s="53" t="s">
        <v>537</v>
      </c>
      <c r="B374" s="1" t="s">
        <v>538</v>
      </c>
      <c r="C374" s="5" t="s">
        <v>49</v>
      </c>
      <c r="E374" s="47">
        <v>10.95</v>
      </c>
      <c r="G374" s="47">
        <f t="shared" si="41"/>
        <v>10.95</v>
      </c>
      <c r="H374" s="47">
        <v>54.9</v>
      </c>
      <c r="I374" s="16">
        <f t="shared" si="42"/>
        <v>5.0136986301369868</v>
      </c>
      <c r="J374" s="5">
        <f t="shared" si="43"/>
        <v>3</v>
      </c>
      <c r="K374" s="5">
        <v>1</v>
      </c>
      <c r="L374" s="5">
        <v>2</v>
      </c>
      <c r="M374" s="5">
        <v>0</v>
      </c>
      <c r="N374" s="48">
        <f t="shared" si="40"/>
        <v>109.8</v>
      </c>
      <c r="O374" s="48">
        <f t="shared" si="44"/>
        <v>54.9</v>
      </c>
      <c r="P374" s="48">
        <f t="shared" si="45"/>
        <v>164.7</v>
      </c>
      <c r="Q374" s="48">
        <f t="shared" si="46"/>
        <v>32.849999999999994</v>
      </c>
      <c r="R374" s="5" t="s">
        <v>682</v>
      </c>
      <c r="S374" s="5" t="s">
        <v>683</v>
      </c>
      <c r="V374" s="44">
        <f t="shared" si="47"/>
        <v>109.8</v>
      </c>
    </row>
    <row r="375" spans="1:22" x14ac:dyDescent="0.2">
      <c r="A375" s="53" t="s">
        <v>539</v>
      </c>
      <c r="B375" s="1" t="s">
        <v>540</v>
      </c>
      <c r="C375" s="5" t="s">
        <v>49</v>
      </c>
      <c r="E375" s="47">
        <v>17.45</v>
      </c>
      <c r="G375" s="47">
        <f t="shared" si="41"/>
        <v>17.45</v>
      </c>
      <c r="H375" s="47">
        <v>64.69</v>
      </c>
      <c r="I375" s="16">
        <f t="shared" si="42"/>
        <v>3.7071633237822348</v>
      </c>
      <c r="J375" s="5">
        <f t="shared" si="43"/>
        <v>1</v>
      </c>
      <c r="K375" s="5">
        <v>1</v>
      </c>
      <c r="L375" s="5">
        <v>0</v>
      </c>
      <c r="M375" s="5">
        <v>0</v>
      </c>
      <c r="N375" s="48">
        <f t="shared" si="40"/>
        <v>0</v>
      </c>
      <c r="O375" s="48">
        <f t="shared" si="44"/>
        <v>64.69</v>
      </c>
      <c r="P375" s="48">
        <f t="shared" si="45"/>
        <v>64.69</v>
      </c>
      <c r="Q375" s="48">
        <f t="shared" si="46"/>
        <v>17.45</v>
      </c>
      <c r="R375" s="5" t="s">
        <v>682</v>
      </c>
      <c r="S375" s="5" t="s">
        <v>683</v>
      </c>
      <c r="V375" s="44">
        <f t="shared" si="47"/>
        <v>0</v>
      </c>
    </row>
    <row r="376" spans="1:22" x14ac:dyDescent="0.2">
      <c r="A376" s="53" t="s">
        <v>541</v>
      </c>
      <c r="B376" s="1" t="s">
        <v>542</v>
      </c>
      <c r="C376" s="5" t="s">
        <v>49</v>
      </c>
      <c r="E376" s="47">
        <v>11.45</v>
      </c>
      <c r="G376" s="47">
        <f t="shared" si="41"/>
        <v>11.45</v>
      </c>
      <c r="H376" s="47">
        <v>62.9</v>
      </c>
      <c r="I376" s="16">
        <f t="shared" si="42"/>
        <v>5.4934497816593888</v>
      </c>
      <c r="J376" s="5">
        <f t="shared" si="43"/>
        <v>2</v>
      </c>
      <c r="K376" s="5">
        <v>0</v>
      </c>
      <c r="L376" s="5">
        <v>2</v>
      </c>
      <c r="M376" s="5">
        <v>0</v>
      </c>
      <c r="N376" s="48">
        <f t="shared" si="40"/>
        <v>125.8</v>
      </c>
      <c r="O376" s="48">
        <f t="shared" si="44"/>
        <v>0</v>
      </c>
      <c r="P376" s="48">
        <f t="shared" si="45"/>
        <v>125.8</v>
      </c>
      <c r="Q376" s="48">
        <f t="shared" si="46"/>
        <v>22.9</v>
      </c>
      <c r="R376" s="5" t="s">
        <v>682</v>
      </c>
      <c r="S376" s="5" t="s">
        <v>683</v>
      </c>
      <c r="V376" s="44">
        <f t="shared" si="47"/>
        <v>125.8</v>
      </c>
    </row>
    <row r="377" spans="1:22" x14ac:dyDescent="0.2">
      <c r="A377" s="53" t="s">
        <v>543</v>
      </c>
      <c r="B377" s="1" t="s">
        <v>544</v>
      </c>
      <c r="C377" s="5" t="s">
        <v>49</v>
      </c>
      <c r="E377" s="47">
        <v>13.45</v>
      </c>
      <c r="G377" s="47">
        <f t="shared" si="41"/>
        <v>13.45</v>
      </c>
      <c r="H377" s="47">
        <v>54.9</v>
      </c>
      <c r="I377" s="16">
        <f t="shared" si="42"/>
        <v>4.0817843866171009</v>
      </c>
      <c r="J377" s="5">
        <f t="shared" si="43"/>
        <v>1</v>
      </c>
      <c r="K377" s="5">
        <v>0</v>
      </c>
      <c r="L377" s="5">
        <v>1</v>
      </c>
      <c r="M377" s="5">
        <v>0</v>
      </c>
      <c r="N377" s="48">
        <f t="shared" si="40"/>
        <v>54.9</v>
      </c>
      <c r="O377" s="48">
        <f t="shared" si="44"/>
        <v>0</v>
      </c>
      <c r="P377" s="48">
        <f t="shared" si="45"/>
        <v>54.9</v>
      </c>
      <c r="Q377" s="48">
        <f t="shared" si="46"/>
        <v>13.45</v>
      </c>
      <c r="R377" s="5" t="s">
        <v>682</v>
      </c>
      <c r="S377" s="5" t="s">
        <v>683</v>
      </c>
      <c r="V377" s="44">
        <f t="shared" si="47"/>
        <v>54.9</v>
      </c>
    </row>
    <row r="378" spans="1:22" x14ac:dyDescent="0.2">
      <c r="A378" s="53" t="s">
        <v>545</v>
      </c>
      <c r="B378" s="1" t="s">
        <v>546</v>
      </c>
      <c r="C378" s="5" t="s">
        <v>49</v>
      </c>
      <c r="E378" s="47">
        <v>12.45</v>
      </c>
      <c r="G378" s="47">
        <f t="shared" si="41"/>
        <v>12.45</v>
      </c>
      <c r="H378" s="47">
        <v>59.9</v>
      </c>
      <c r="I378" s="16">
        <f t="shared" si="42"/>
        <v>4.811244979919679</v>
      </c>
      <c r="J378" s="5">
        <f t="shared" si="43"/>
        <v>2</v>
      </c>
      <c r="K378" s="5">
        <v>1</v>
      </c>
      <c r="L378" s="5">
        <v>1</v>
      </c>
      <c r="M378" s="5">
        <v>0</v>
      </c>
      <c r="N378" s="48">
        <f t="shared" si="40"/>
        <v>59.9</v>
      </c>
      <c r="O378" s="48">
        <f t="shared" si="44"/>
        <v>59.9</v>
      </c>
      <c r="P378" s="48">
        <f t="shared" si="45"/>
        <v>119.8</v>
      </c>
      <c r="Q378" s="48">
        <f t="shared" si="46"/>
        <v>24.9</v>
      </c>
      <c r="R378" s="5" t="s">
        <v>682</v>
      </c>
      <c r="S378" s="5" t="s">
        <v>683</v>
      </c>
      <c r="V378" s="44">
        <f t="shared" si="47"/>
        <v>59.9</v>
      </c>
    </row>
    <row r="379" spans="1:22" x14ac:dyDescent="0.2">
      <c r="A379" s="53" t="s">
        <v>547</v>
      </c>
      <c r="B379" s="1" t="s">
        <v>548</v>
      </c>
      <c r="C379" s="5" t="s">
        <v>360</v>
      </c>
      <c r="E379" s="47">
        <v>29.95</v>
      </c>
      <c r="G379" s="47">
        <f t="shared" si="41"/>
        <v>29.95</v>
      </c>
      <c r="H379" s="47">
        <v>119.9</v>
      </c>
      <c r="I379" s="16">
        <f t="shared" si="42"/>
        <v>4.003338898163606</v>
      </c>
      <c r="J379" s="5">
        <f t="shared" si="43"/>
        <v>1</v>
      </c>
      <c r="K379" s="5">
        <v>0</v>
      </c>
      <c r="L379" s="5">
        <v>1</v>
      </c>
      <c r="M379" s="5">
        <v>0</v>
      </c>
      <c r="N379" s="48">
        <f t="shared" si="40"/>
        <v>119.9</v>
      </c>
      <c r="O379" s="48">
        <f t="shared" si="44"/>
        <v>0</v>
      </c>
      <c r="P379" s="48">
        <f t="shared" si="45"/>
        <v>119.9</v>
      </c>
      <c r="Q379" s="48">
        <f t="shared" si="46"/>
        <v>29.95</v>
      </c>
      <c r="R379" s="5" t="s">
        <v>682</v>
      </c>
      <c r="S379" s="5" t="s">
        <v>683</v>
      </c>
      <c r="V379" s="44">
        <f t="shared" si="47"/>
        <v>119.9</v>
      </c>
    </row>
    <row r="380" spans="1:22" x14ac:dyDescent="0.2">
      <c r="A380" s="53" t="s">
        <v>549</v>
      </c>
      <c r="B380" s="1" t="s">
        <v>550</v>
      </c>
      <c r="C380" s="5" t="s">
        <v>360</v>
      </c>
      <c r="E380" s="47">
        <v>39.950000000000003</v>
      </c>
      <c r="G380" s="47">
        <f t="shared" si="41"/>
        <v>39.950000000000003</v>
      </c>
      <c r="H380" s="47">
        <v>159.9</v>
      </c>
      <c r="I380" s="16">
        <f t="shared" si="42"/>
        <v>4.0025031289111386</v>
      </c>
      <c r="J380" s="5">
        <f t="shared" si="43"/>
        <v>1</v>
      </c>
      <c r="K380" s="5">
        <v>0</v>
      </c>
      <c r="L380" s="5">
        <v>1</v>
      </c>
      <c r="M380" s="5">
        <v>0</v>
      </c>
      <c r="N380" s="48">
        <f t="shared" si="40"/>
        <v>159.9</v>
      </c>
      <c r="O380" s="48">
        <f t="shared" si="44"/>
        <v>0</v>
      </c>
      <c r="P380" s="48">
        <f t="shared" si="45"/>
        <v>159.9</v>
      </c>
      <c r="Q380" s="48">
        <f t="shared" si="46"/>
        <v>39.950000000000003</v>
      </c>
      <c r="R380" s="5" t="s">
        <v>682</v>
      </c>
      <c r="S380" s="5" t="s">
        <v>683</v>
      </c>
      <c r="V380" s="44">
        <f t="shared" si="47"/>
        <v>159.9</v>
      </c>
    </row>
    <row r="381" spans="1:22" x14ac:dyDescent="0.2">
      <c r="A381" s="53" t="s">
        <v>551</v>
      </c>
      <c r="B381" s="1" t="s">
        <v>552</v>
      </c>
      <c r="C381" s="5" t="s">
        <v>360</v>
      </c>
      <c r="E381" s="47">
        <v>32.950000000000003</v>
      </c>
      <c r="G381" s="47">
        <f t="shared" si="41"/>
        <v>32.950000000000003</v>
      </c>
      <c r="H381" s="47">
        <v>139.9</v>
      </c>
      <c r="I381" s="16">
        <f t="shared" si="42"/>
        <v>4.245827010622155</v>
      </c>
      <c r="J381" s="5">
        <f t="shared" si="43"/>
        <v>1</v>
      </c>
      <c r="K381" s="5">
        <v>1</v>
      </c>
      <c r="L381" s="5">
        <v>0</v>
      </c>
      <c r="M381" s="5">
        <v>0</v>
      </c>
      <c r="N381" s="48">
        <f t="shared" si="40"/>
        <v>0</v>
      </c>
      <c r="O381" s="48">
        <f t="shared" si="44"/>
        <v>139.9</v>
      </c>
      <c r="P381" s="48">
        <f t="shared" si="45"/>
        <v>139.9</v>
      </c>
      <c r="Q381" s="48">
        <f t="shared" si="46"/>
        <v>32.950000000000003</v>
      </c>
      <c r="R381" s="5" t="s">
        <v>682</v>
      </c>
      <c r="S381" s="5" t="s">
        <v>683</v>
      </c>
      <c r="V381" s="44">
        <f t="shared" si="47"/>
        <v>0</v>
      </c>
    </row>
    <row r="382" spans="1:22" x14ac:dyDescent="0.2">
      <c r="A382" s="53" t="s">
        <v>553</v>
      </c>
      <c r="B382" s="1" t="s">
        <v>554</v>
      </c>
      <c r="C382" s="5" t="s">
        <v>360</v>
      </c>
      <c r="E382" s="47">
        <v>33.450000000000003</v>
      </c>
      <c r="G382" s="47">
        <f t="shared" si="41"/>
        <v>33.450000000000003</v>
      </c>
      <c r="H382" s="47">
        <v>139.9</v>
      </c>
      <c r="I382" s="16">
        <f t="shared" si="42"/>
        <v>4.1823617339312404</v>
      </c>
      <c r="J382" s="5">
        <f t="shared" si="43"/>
        <v>1</v>
      </c>
      <c r="K382" s="5">
        <v>0</v>
      </c>
      <c r="L382" s="5">
        <v>1</v>
      </c>
      <c r="M382" s="5">
        <v>0</v>
      </c>
      <c r="N382" s="48">
        <f t="shared" si="40"/>
        <v>139.9</v>
      </c>
      <c r="O382" s="48">
        <f t="shared" si="44"/>
        <v>0</v>
      </c>
      <c r="P382" s="48">
        <f t="shared" si="45"/>
        <v>139.9</v>
      </c>
      <c r="Q382" s="48">
        <f t="shared" si="46"/>
        <v>33.450000000000003</v>
      </c>
      <c r="R382" s="5" t="s">
        <v>682</v>
      </c>
      <c r="S382" s="5" t="s">
        <v>683</v>
      </c>
      <c r="V382" s="44">
        <f t="shared" si="47"/>
        <v>139.9</v>
      </c>
    </row>
    <row r="383" spans="1:22" x14ac:dyDescent="0.2">
      <c r="A383" s="53" t="s">
        <v>555</v>
      </c>
      <c r="B383" s="1" t="s">
        <v>556</v>
      </c>
      <c r="C383" s="5" t="s">
        <v>360</v>
      </c>
      <c r="E383" s="47">
        <v>34.950000000000003</v>
      </c>
      <c r="G383" s="47">
        <f t="shared" si="41"/>
        <v>34.950000000000003</v>
      </c>
      <c r="H383" s="47">
        <v>159.9</v>
      </c>
      <c r="I383" s="16">
        <f t="shared" si="42"/>
        <v>4.5751072961373387</v>
      </c>
      <c r="J383" s="5">
        <f t="shared" si="43"/>
        <v>1</v>
      </c>
      <c r="K383" s="5">
        <v>0</v>
      </c>
      <c r="L383" s="5">
        <v>1</v>
      </c>
      <c r="M383" s="5">
        <v>0</v>
      </c>
      <c r="N383" s="48">
        <f t="shared" si="40"/>
        <v>159.9</v>
      </c>
      <c r="O383" s="48">
        <f t="shared" si="44"/>
        <v>0</v>
      </c>
      <c r="P383" s="48">
        <f t="shared" si="45"/>
        <v>159.9</v>
      </c>
      <c r="Q383" s="48">
        <f t="shared" si="46"/>
        <v>34.950000000000003</v>
      </c>
      <c r="R383" s="5" t="s">
        <v>682</v>
      </c>
      <c r="S383" s="5" t="s">
        <v>683</v>
      </c>
      <c r="V383" s="44">
        <f t="shared" si="47"/>
        <v>159.9</v>
      </c>
    </row>
    <row r="384" spans="1:22" x14ac:dyDescent="0.2">
      <c r="A384" s="53" t="s">
        <v>557</v>
      </c>
      <c r="B384" s="1" t="s">
        <v>558</v>
      </c>
      <c r="C384" s="5" t="s">
        <v>360</v>
      </c>
      <c r="E384" s="47">
        <v>34.950000000000003</v>
      </c>
      <c r="G384" s="47">
        <f t="shared" si="41"/>
        <v>34.950000000000003</v>
      </c>
      <c r="H384" s="47">
        <v>159.9</v>
      </c>
      <c r="I384" s="16">
        <f t="shared" si="42"/>
        <v>4.5751072961373387</v>
      </c>
      <c r="J384" s="5">
        <f t="shared" si="43"/>
        <v>1</v>
      </c>
      <c r="K384" s="5">
        <v>0</v>
      </c>
      <c r="L384" s="5">
        <v>1</v>
      </c>
      <c r="M384" s="5">
        <v>0</v>
      </c>
      <c r="N384" s="48">
        <f t="shared" si="40"/>
        <v>159.9</v>
      </c>
      <c r="O384" s="48">
        <f t="shared" si="44"/>
        <v>0</v>
      </c>
      <c r="P384" s="48">
        <f t="shared" si="45"/>
        <v>159.9</v>
      </c>
      <c r="Q384" s="48">
        <f t="shared" si="46"/>
        <v>34.950000000000003</v>
      </c>
      <c r="R384" s="5" t="s">
        <v>682</v>
      </c>
      <c r="S384" s="5" t="s">
        <v>683</v>
      </c>
      <c r="V384" s="44">
        <f t="shared" si="47"/>
        <v>159.9</v>
      </c>
    </row>
    <row r="385" spans="1:22" x14ac:dyDescent="0.2">
      <c r="A385" s="53" t="s">
        <v>559</v>
      </c>
      <c r="B385" s="1" t="s">
        <v>560</v>
      </c>
      <c r="C385" s="5" t="s">
        <v>360</v>
      </c>
      <c r="E385" s="47">
        <v>49.95</v>
      </c>
      <c r="G385" s="47">
        <f t="shared" si="41"/>
        <v>49.95</v>
      </c>
      <c r="H385" s="47">
        <v>179.9</v>
      </c>
      <c r="I385" s="16">
        <f t="shared" si="42"/>
        <v>3.6016016016016015</v>
      </c>
      <c r="J385" s="5">
        <f t="shared" si="43"/>
        <v>1</v>
      </c>
      <c r="K385" s="5">
        <v>0</v>
      </c>
      <c r="L385" s="5">
        <v>1</v>
      </c>
      <c r="M385" s="5">
        <v>0</v>
      </c>
      <c r="N385" s="48">
        <f t="shared" si="40"/>
        <v>179.9</v>
      </c>
      <c r="O385" s="48">
        <f t="shared" si="44"/>
        <v>0</v>
      </c>
      <c r="P385" s="48">
        <f t="shared" si="45"/>
        <v>179.9</v>
      </c>
      <c r="Q385" s="48">
        <f t="shared" si="46"/>
        <v>49.95</v>
      </c>
      <c r="R385" s="5" t="s">
        <v>682</v>
      </c>
      <c r="S385" s="5" t="s">
        <v>683</v>
      </c>
      <c r="V385" s="44">
        <f t="shared" si="47"/>
        <v>179.9</v>
      </c>
    </row>
    <row r="386" spans="1:22" x14ac:dyDescent="0.2">
      <c r="A386" s="53" t="s">
        <v>561</v>
      </c>
      <c r="B386" s="1" t="s">
        <v>562</v>
      </c>
      <c r="C386" s="5" t="s">
        <v>360</v>
      </c>
      <c r="E386" s="47">
        <v>49.95</v>
      </c>
      <c r="G386" s="47">
        <f t="shared" si="41"/>
        <v>49.95</v>
      </c>
      <c r="H386" s="47">
        <v>179.9</v>
      </c>
      <c r="I386" s="16">
        <f t="shared" si="42"/>
        <v>3.6016016016016015</v>
      </c>
      <c r="J386" s="5">
        <f t="shared" si="43"/>
        <v>1</v>
      </c>
      <c r="K386" s="5">
        <v>1</v>
      </c>
      <c r="L386" s="5">
        <v>0</v>
      </c>
      <c r="M386" s="5">
        <v>0</v>
      </c>
      <c r="N386" s="48">
        <f t="shared" ref="N386:N449" si="48">L386*H386</f>
        <v>0</v>
      </c>
      <c r="O386" s="48">
        <f t="shared" si="44"/>
        <v>179.9</v>
      </c>
      <c r="P386" s="48">
        <f t="shared" si="45"/>
        <v>179.9</v>
      </c>
      <c r="Q386" s="48">
        <f t="shared" si="46"/>
        <v>49.95</v>
      </c>
      <c r="R386" s="5" t="s">
        <v>682</v>
      </c>
      <c r="S386" s="5" t="s">
        <v>683</v>
      </c>
      <c r="V386" s="44">
        <f t="shared" si="47"/>
        <v>0</v>
      </c>
    </row>
    <row r="387" spans="1:22" x14ac:dyDescent="0.2">
      <c r="A387" s="53" t="s">
        <v>563</v>
      </c>
      <c r="B387" s="1" t="s">
        <v>564</v>
      </c>
      <c r="C387" s="5" t="s">
        <v>360</v>
      </c>
      <c r="E387" s="47">
        <v>44.95</v>
      </c>
      <c r="G387" s="47">
        <f t="shared" ref="G387:G450" si="49">SUM(E387:F387)</f>
        <v>44.95</v>
      </c>
      <c r="H387" s="47">
        <v>219.9</v>
      </c>
      <c r="I387" s="16">
        <f t="shared" ref="I387:I450" si="50">IFERROR(H387/G387*100%,"SEM INFORMAÇÃO DE CUSTOS")</f>
        <v>4.8921023359288096</v>
      </c>
      <c r="J387" s="5">
        <f t="shared" ref="J387:J450" si="51">K387+L387</f>
        <v>2</v>
      </c>
      <c r="K387" s="5">
        <v>1</v>
      </c>
      <c r="L387" s="5">
        <v>1</v>
      </c>
      <c r="M387" s="5">
        <v>0</v>
      </c>
      <c r="N387" s="48">
        <f t="shared" si="48"/>
        <v>219.9</v>
      </c>
      <c r="O387" s="48">
        <f t="shared" ref="O387:O450" si="52">K387*H387</f>
        <v>219.9</v>
      </c>
      <c r="P387" s="48">
        <f t="shared" ref="P387:P450" si="53">O387+N387</f>
        <v>439.8</v>
      </c>
      <c r="Q387" s="48">
        <f t="shared" ref="Q387:Q450" si="54">J387*G387</f>
        <v>89.9</v>
      </c>
      <c r="R387" s="5" t="s">
        <v>682</v>
      </c>
      <c r="S387" s="5" t="s">
        <v>683</v>
      </c>
      <c r="V387" s="44">
        <f t="shared" ref="V387:V450" si="55">L387*H387</f>
        <v>219.9</v>
      </c>
    </row>
    <row r="388" spans="1:22" x14ac:dyDescent="0.2">
      <c r="A388" s="53" t="s">
        <v>565</v>
      </c>
      <c r="B388" s="1" t="s">
        <v>566</v>
      </c>
      <c r="C388" s="5" t="s">
        <v>360</v>
      </c>
      <c r="E388" s="47">
        <v>29.95</v>
      </c>
      <c r="G388" s="47">
        <f t="shared" si="49"/>
        <v>29.95</v>
      </c>
      <c r="H388" s="47">
        <v>139.9</v>
      </c>
      <c r="I388" s="16">
        <f t="shared" si="50"/>
        <v>4.671118530884808</v>
      </c>
      <c r="J388" s="5">
        <f t="shared" si="51"/>
        <v>1</v>
      </c>
      <c r="K388" s="5">
        <v>0</v>
      </c>
      <c r="L388" s="5">
        <v>1</v>
      </c>
      <c r="M388" s="5">
        <v>0</v>
      </c>
      <c r="N388" s="48">
        <f t="shared" si="48"/>
        <v>139.9</v>
      </c>
      <c r="O388" s="48">
        <f t="shared" si="52"/>
        <v>0</v>
      </c>
      <c r="P388" s="48">
        <f t="shared" si="53"/>
        <v>139.9</v>
      </c>
      <c r="Q388" s="48">
        <f t="shared" si="54"/>
        <v>29.95</v>
      </c>
      <c r="R388" s="5" t="s">
        <v>682</v>
      </c>
      <c r="S388" s="5" t="s">
        <v>683</v>
      </c>
      <c r="V388" s="44">
        <f t="shared" si="55"/>
        <v>139.9</v>
      </c>
    </row>
    <row r="389" spans="1:22" x14ac:dyDescent="0.2">
      <c r="A389" s="53" t="s">
        <v>567</v>
      </c>
      <c r="B389" s="1" t="s">
        <v>568</v>
      </c>
      <c r="C389" s="5" t="s">
        <v>360</v>
      </c>
      <c r="E389" s="47">
        <v>22.45</v>
      </c>
      <c r="G389" s="47">
        <f t="shared" si="49"/>
        <v>22.45</v>
      </c>
      <c r="H389" s="47">
        <v>89.9</v>
      </c>
      <c r="I389" s="16">
        <f t="shared" si="50"/>
        <v>4.0044543429844106</v>
      </c>
      <c r="J389" s="5">
        <f t="shared" si="51"/>
        <v>1</v>
      </c>
      <c r="K389" s="5">
        <v>0</v>
      </c>
      <c r="L389" s="5">
        <v>1</v>
      </c>
      <c r="M389" s="5">
        <v>0</v>
      </c>
      <c r="N389" s="48">
        <f t="shared" si="48"/>
        <v>89.9</v>
      </c>
      <c r="O389" s="48">
        <f t="shared" si="52"/>
        <v>0</v>
      </c>
      <c r="P389" s="48">
        <f t="shared" si="53"/>
        <v>89.9</v>
      </c>
      <c r="Q389" s="48">
        <f t="shared" si="54"/>
        <v>22.45</v>
      </c>
      <c r="R389" s="5" t="s">
        <v>682</v>
      </c>
      <c r="S389" s="5" t="s">
        <v>683</v>
      </c>
      <c r="V389" s="44">
        <f t="shared" si="55"/>
        <v>89.9</v>
      </c>
    </row>
    <row r="390" spans="1:22" x14ac:dyDescent="0.2">
      <c r="A390" s="53" t="s">
        <v>569</v>
      </c>
      <c r="B390" s="1" t="s">
        <v>570</v>
      </c>
      <c r="C390" s="5" t="s">
        <v>360</v>
      </c>
      <c r="E390" s="47">
        <v>39.450000000000003</v>
      </c>
      <c r="G390" s="47">
        <f t="shared" si="49"/>
        <v>39.450000000000003</v>
      </c>
      <c r="H390" s="47">
        <v>159.9</v>
      </c>
      <c r="I390" s="16">
        <f t="shared" si="50"/>
        <v>4.0532319391634983</v>
      </c>
      <c r="J390" s="5">
        <f t="shared" si="51"/>
        <v>0</v>
      </c>
      <c r="K390" s="5">
        <v>0</v>
      </c>
      <c r="L390" s="5">
        <v>0</v>
      </c>
      <c r="M390" s="5">
        <v>0</v>
      </c>
      <c r="N390" s="48">
        <f t="shared" si="48"/>
        <v>0</v>
      </c>
      <c r="O390" s="48">
        <f t="shared" si="52"/>
        <v>0</v>
      </c>
      <c r="P390" s="48">
        <f t="shared" si="53"/>
        <v>0</v>
      </c>
      <c r="Q390" s="48">
        <f t="shared" si="54"/>
        <v>0</v>
      </c>
      <c r="R390" s="5" t="s">
        <v>682</v>
      </c>
      <c r="S390" s="5" t="s">
        <v>683</v>
      </c>
      <c r="V390" s="44">
        <f t="shared" si="55"/>
        <v>0</v>
      </c>
    </row>
    <row r="391" spans="1:22" x14ac:dyDescent="0.2">
      <c r="A391" s="53" t="s">
        <v>571</v>
      </c>
      <c r="B391" s="1" t="s">
        <v>572</v>
      </c>
      <c r="C391" s="5" t="s">
        <v>49</v>
      </c>
      <c r="E391" s="47">
        <v>19.25</v>
      </c>
      <c r="F391" s="47">
        <v>19.350000000000001</v>
      </c>
      <c r="G391" s="47">
        <f t="shared" si="49"/>
        <v>38.6</v>
      </c>
      <c r="I391" s="16">
        <f t="shared" si="50"/>
        <v>0</v>
      </c>
      <c r="J391" s="5">
        <f t="shared" si="51"/>
        <v>1</v>
      </c>
      <c r="K391" s="5">
        <v>0</v>
      </c>
      <c r="L391" s="5">
        <v>1</v>
      </c>
      <c r="M391" s="5">
        <v>0</v>
      </c>
      <c r="N391" s="48">
        <f t="shared" si="48"/>
        <v>0</v>
      </c>
      <c r="O391" s="48">
        <f t="shared" si="52"/>
        <v>0</v>
      </c>
      <c r="P391" s="48">
        <f t="shared" si="53"/>
        <v>0</v>
      </c>
      <c r="Q391" s="48">
        <f t="shared" si="54"/>
        <v>38.6</v>
      </c>
      <c r="R391" s="5" t="s">
        <v>682</v>
      </c>
      <c r="S391" s="5" t="s">
        <v>683</v>
      </c>
      <c r="V391" s="44">
        <f t="shared" si="55"/>
        <v>0</v>
      </c>
    </row>
    <row r="392" spans="1:22" x14ac:dyDescent="0.2">
      <c r="A392" s="53" t="s">
        <v>573</v>
      </c>
      <c r="B392" s="1" t="s">
        <v>574</v>
      </c>
      <c r="C392" s="5" t="s">
        <v>49</v>
      </c>
      <c r="E392" s="47">
        <v>2.99</v>
      </c>
      <c r="G392" s="47">
        <f t="shared" si="49"/>
        <v>2.99</v>
      </c>
      <c r="H392" s="47">
        <v>29.9</v>
      </c>
      <c r="I392" s="16">
        <f t="shared" si="50"/>
        <v>9.9999999999999982</v>
      </c>
      <c r="J392" s="5">
        <f t="shared" si="51"/>
        <v>1</v>
      </c>
      <c r="K392" s="5">
        <v>0</v>
      </c>
      <c r="L392" s="5">
        <v>1</v>
      </c>
      <c r="M392" s="5">
        <v>0</v>
      </c>
      <c r="N392" s="48">
        <f t="shared" si="48"/>
        <v>29.9</v>
      </c>
      <c r="O392" s="48">
        <f t="shared" si="52"/>
        <v>0</v>
      </c>
      <c r="P392" s="48">
        <f t="shared" si="53"/>
        <v>29.9</v>
      </c>
      <c r="Q392" s="48">
        <f t="shared" si="54"/>
        <v>2.99</v>
      </c>
      <c r="R392" s="5" t="s">
        <v>682</v>
      </c>
      <c r="S392" s="5" t="s">
        <v>683</v>
      </c>
      <c r="V392" s="44">
        <f t="shared" si="55"/>
        <v>29.9</v>
      </c>
    </row>
    <row r="393" spans="1:22" x14ac:dyDescent="0.2">
      <c r="A393" s="53" t="s">
        <v>575</v>
      </c>
      <c r="B393" s="1" t="s">
        <v>576</v>
      </c>
      <c r="C393" s="5" t="s">
        <v>49</v>
      </c>
      <c r="E393" s="47">
        <v>2.99</v>
      </c>
      <c r="G393" s="47">
        <f t="shared" si="49"/>
        <v>2.99</v>
      </c>
      <c r="H393" s="47">
        <v>54.9</v>
      </c>
      <c r="I393" s="16">
        <f t="shared" si="50"/>
        <v>18.361204013377925</v>
      </c>
      <c r="J393" s="5">
        <f t="shared" si="51"/>
        <v>1</v>
      </c>
      <c r="K393" s="5">
        <v>1</v>
      </c>
      <c r="L393" s="5">
        <v>0</v>
      </c>
      <c r="M393" s="5">
        <v>0</v>
      </c>
      <c r="N393" s="48">
        <f t="shared" si="48"/>
        <v>0</v>
      </c>
      <c r="O393" s="48">
        <f t="shared" si="52"/>
        <v>54.9</v>
      </c>
      <c r="P393" s="48">
        <f t="shared" si="53"/>
        <v>54.9</v>
      </c>
      <c r="Q393" s="48">
        <f t="shared" si="54"/>
        <v>2.99</v>
      </c>
      <c r="R393" s="5" t="s">
        <v>682</v>
      </c>
      <c r="S393" s="5" t="s">
        <v>683</v>
      </c>
      <c r="V393" s="44">
        <f t="shared" si="55"/>
        <v>0</v>
      </c>
    </row>
    <row r="394" spans="1:22" x14ac:dyDescent="0.2">
      <c r="A394" s="53" t="s">
        <v>577</v>
      </c>
      <c r="B394" s="1" t="s">
        <v>578</v>
      </c>
      <c r="C394" s="5" t="s">
        <v>49</v>
      </c>
      <c r="E394" s="47">
        <v>23.9</v>
      </c>
      <c r="G394" s="47">
        <f t="shared" si="49"/>
        <v>23.9</v>
      </c>
      <c r="H394" s="47">
        <v>149.9</v>
      </c>
      <c r="I394" s="16">
        <f t="shared" si="50"/>
        <v>6.2719665271966534</v>
      </c>
      <c r="J394" s="5">
        <f t="shared" si="51"/>
        <v>1</v>
      </c>
      <c r="K394" s="5">
        <v>0</v>
      </c>
      <c r="L394" s="5">
        <v>1</v>
      </c>
      <c r="M394" s="5">
        <v>0</v>
      </c>
      <c r="N394" s="48">
        <f t="shared" si="48"/>
        <v>149.9</v>
      </c>
      <c r="O394" s="48">
        <f t="shared" si="52"/>
        <v>0</v>
      </c>
      <c r="P394" s="48">
        <f t="shared" si="53"/>
        <v>149.9</v>
      </c>
      <c r="Q394" s="48">
        <f t="shared" si="54"/>
        <v>23.9</v>
      </c>
      <c r="R394" s="5" t="s">
        <v>682</v>
      </c>
      <c r="S394" s="5" t="s">
        <v>683</v>
      </c>
      <c r="V394" s="44">
        <f t="shared" si="55"/>
        <v>149.9</v>
      </c>
    </row>
    <row r="395" spans="1:22" x14ac:dyDescent="0.2">
      <c r="A395" s="53" t="s">
        <v>579</v>
      </c>
      <c r="B395" s="1" t="s">
        <v>580</v>
      </c>
      <c r="C395" s="5" t="s">
        <v>49</v>
      </c>
      <c r="E395" s="47">
        <v>2.99</v>
      </c>
      <c r="G395" s="47">
        <f t="shared" si="49"/>
        <v>2.99</v>
      </c>
      <c r="H395" s="47">
        <v>54.9</v>
      </c>
      <c r="I395" s="16">
        <f t="shared" si="50"/>
        <v>18.361204013377925</v>
      </c>
      <c r="J395" s="5">
        <f t="shared" si="51"/>
        <v>2</v>
      </c>
      <c r="K395" s="5">
        <v>0</v>
      </c>
      <c r="L395" s="5">
        <v>2</v>
      </c>
      <c r="M395" s="5">
        <v>0</v>
      </c>
      <c r="N395" s="48">
        <f t="shared" si="48"/>
        <v>109.8</v>
      </c>
      <c r="O395" s="48">
        <f t="shared" si="52"/>
        <v>0</v>
      </c>
      <c r="P395" s="48">
        <f t="shared" si="53"/>
        <v>109.8</v>
      </c>
      <c r="Q395" s="48">
        <f t="shared" si="54"/>
        <v>5.98</v>
      </c>
      <c r="R395" s="5" t="s">
        <v>682</v>
      </c>
      <c r="S395" s="5" t="s">
        <v>683</v>
      </c>
      <c r="V395" s="44">
        <f t="shared" si="55"/>
        <v>109.8</v>
      </c>
    </row>
    <row r="396" spans="1:22" x14ac:dyDescent="0.2">
      <c r="A396" s="53" t="s">
        <v>581</v>
      </c>
      <c r="B396" s="1" t="s">
        <v>582</v>
      </c>
      <c r="C396" s="5" t="s">
        <v>49</v>
      </c>
      <c r="E396" s="47">
        <v>2.99</v>
      </c>
      <c r="G396" s="47">
        <f t="shared" si="49"/>
        <v>2.99</v>
      </c>
      <c r="H396" s="47">
        <v>29.9</v>
      </c>
      <c r="I396" s="16">
        <f t="shared" si="50"/>
        <v>9.9999999999999982</v>
      </c>
      <c r="J396" s="5">
        <f t="shared" si="51"/>
        <v>1</v>
      </c>
      <c r="K396" s="5">
        <v>0</v>
      </c>
      <c r="L396" s="5">
        <v>1</v>
      </c>
      <c r="M396" s="5">
        <v>0</v>
      </c>
      <c r="N396" s="48">
        <f t="shared" si="48"/>
        <v>29.9</v>
      </c>
      <c r="O396" s="48">
        <f t="shared" si="52"/>
        <v>0</v>
      </c>
      <c r="P396" s="48">
        <f t="shared" si="53"/>
        <v>29.9</v>
      </c>
      <c r="Q396" s="48">
        <f t="shared" si="54"/>
        <v>2.99</v>
      </c>
      <c r="R396" s="5" t="s">
        <v>682</v>
      </c>
      <c r="S396" s="5" t="s">
        <v>683</v>
      </c>
      <c r="V396" s="44">
        <f t="shared" si="55"/>
        <v>29.9</v>
      </c>
    </row>
    <row r="397" spans="1:22" x14ac:dyDescent="0.2">
      <c r="A397" s="53" t="s">
        <v>583</v>
      </c>
      <c r="B397" s="1" t="s">
        <v>584</v>
      </c>
      <c r="C397" s="5" t="s">
        <v>49</v>
      </c>
      <c r="E397" s="47">
        <v>25.9</v>
      </c>
      <c r="G397" s="47">
        <f t="shared" si="49"/>
        <v>25.9</v>
      </c>
      <c r="H397" s="47">
        <v>169.9</v>
      </c>
      <c r="I397" s="16">
        <f t="shared" si="50"/>
        <v>6.5598455598455603</v>
      </c>
      <c r="J397" s="5">
        <f t="shared" si="51"/>
        <v>0</v>
      </c>
      <c r="K397" s="5">
        <v>0</v>
      </c>
      <c r="L397" s="5">
        <v>0</v>
      </c>
      <c r="M397" s="5">
        <v>0</v>
      </c>
      <c r="N397" s="48">
        <f t="shared" si="48"/>
        <v>0</v>
      </c>
      <c r="O397" s="48">
        <f t="shared" si="52"/>
        <v>0</v>
      </c>
      <c r="P397" s="48">
        <f t="shared" si="53"/>
        <v>0</v>
      </c>
      <c r="Q397" s="48">
        <f t="shared" si="54"/>
        <v>0</v>
      </c>
      <c r="R397" s="5" t="s">
        <v>682</v>
      </c>
      <c r="S397" s="5" t="s">
        <v>683</v>
      </c>
      <c r="V397" s="44">
        <f t="shared" si="55"/>
        <v>0</v>
      </c>
    </row>
    <row r="398" spans="1:22" x14ac:dyDescent="0.2">
      <c r="A398" s="53" t="s">
        <v>585</v>
      </c>
      <c r="B398" s="1" t="s">
        <v>586</v>
      </c>
      <c r="C398" s="5" t="s">
        <v>49</v>
      </c>
      <c r="E398" s="47">
        <v>2.99</v>
      </c>
      <c r="G398" s="47">
        <f t="shared" si="49"/>
        <v>2.99</v>
      </c>
      <c r="H398" s="47">
        <v>43.9</v>
      </c>
      <c r="I398" s="16">
        <f t="shared" si="50"/>
        <v>14.682274247491637</v>
      </c>
      <c r="J398" s="5">
        <f t="shared" si="51"/>
        <v>1</v>
      </c>
      <c r="K398" s="5">
        <v>0</v>
      </c>
      <c r="L398" s="5">
        <v>1</v>
      </c>
      <c r="M398" s="5">
        <v>0</v>
      </c>
      <c r="N398" s="48">
        <f t="shared" si="48"/>
        <v>43.9</v>
      </c>
      <c r="O398" s="48">
        <f t="shared" si="52"/>
        <v>0</v>
      </c>
      <c r="P398" s="48">
        <f t="shared" si="53"/>
        <v>43.9</v>
      </c>
      <c r="Q398" s="48">
        <f t="shared" si="54"/>
        <v>2.99</v>
      </c>
      <c r="R398" s="5" t="s">
        <v>682</v>
      </c>
      <c r="S398" s="5" t="s">
        <v>683</v>
      </c>
      <c r="V398" s="44">
        <f t="shared" si="55"/>
        <v>43.9</v>
      </c>
    </row>
    <row r="399" spans="1:22" x14ac:dyDescent="0.2">
      <c r="A399" s="53" t="s">
        <v>587</v>
      </c>
      <c r="B399" s="1" t="s">
        <v>588</v>
      </c>
      <c r="C399" s="5" t="s">
        <v>49</v>
      </c>
      <c r="E399" s="47">
        <v>8.9</v>
      </c>
      <c r="G399" s="47">
        <f t="shared" si="49"/>
        <v>8.9</v>
      </c>
      <c r="H399" s="47">
        <v>74.900000000000006</v>
      </c>
      <c r="I399" s="16">
        <f t="shared" si="50"/>
        <v>8.4157303370786511</v>
      </c>
      <c r="J399" s="5">
        <f t="shared" si="51"/>
        <v>0</v>
      </c>
      <c r="K399" s="5">
        <v>0</v>
      </c>
      <c r="L399" s="5">
        <v>0</v>
      </c>
      <c r="M399" s="5">
        <v>0</v>
      </c>
      <c r="N399" s="48">
        <f t="shared" si="48"/>
        <v>0</v>
      </c>
      <c r="O399" s="48">
        <f t="shared" si="52"/>
        <v>0</v>
      </c>
      <c r="P399" s="48">
        <f t="shared" si="53"/>
        <v>0</v>
      </c>
      <c r="Q399" s="48">
        <f t="shared" si="54"/>
        <v>0</v>
      </c>
      <c r="R399" s="5" t="s">
        <v>682</v>
      </c>
      <c r="S399" s="5" t="s">
        <v>683</v>
      </c>
      <c r="V399" s="44">
        <f t="shared" si="55"/>
        <v>0</v>
      </c>
    </row>
    <row r="400" spans="1:22" x14ac:dyDescent="0.2">
      <c r="A400" s="53" t="s">
        <v>589</v>
      </c>
      <c r="B400" s="1" t="s">
        <v>590</v>
      </c>
      <c r="C400" s="5" t="s">
        <v>49</v>
      </c>
      <c r="E400" s="47">
        <v>12.9</v>
      </c>
      <c r="G400" s="47">
        <f t="shared" si="49"/>
        <v>12.9</v>
      </c>
      <c r="H400" s="47">
        <v>139.9</v>
      </c>
      <c r="I400" s="16">
        <f t="shared" si="50"/>
        <v>10.844961240310077</v>
      </c>
      <c r="J400" s="5">
        <f t="shared" si="51"/>
        <v>1</v>
      </c>
      <c r="K400" s="5">
        <v>0</v>
      </c>
      <c r="L400" s="5">
        <v>1</v>
      </c>
      <c r="M400" s="5">
        <v>0</v>
      </c>
      <c r="N400" s="48">
        <f t="shared" si="48"/>
        <v>139.9</v>
      </c>
      <c r="O400" s="48">
        <f t="shared" si="52"/>
        <v>0</v>
      </c>
      <c r="P400" s="48">
        <f t="shared" si="53"/>
        <v>139.9</v>
      </c>
      <c r="Q400" s="48">
        <f t="shared" si="54"/>
        <v>12.9</v>
      </c>
      <c r="R400" s="5" t="s">
        <v>682</v>
      </c>
      <c r="S400" s="5" t="s">
        <v>683</v>
      </c>
      <c r="V400" s="44">
        <f t="shared" si="55"/>
        <v>139.9</v>
      </c>
    </row>
    <row r="401" spans="1:22" x14ac:dyDescent="0.2">
      <c r="A401" s="53" t="s">
        <v>591</v>
      </c>
      <c r="B401" s="1" t="s">
        <v>592</v>
      </c>
      <c r="C401" s="5" t="s">
        <v>49</v>
      </c>
      <c r="E401" s="47">
        <v>21.9</v>
      </c>
      <c r="G401" s="47">
        <f t="shared" si="49"/>
        <v>21.9</v>
      </c>
      <c r="H401" s="47">
        <v>139.9</v>
      </c>
      <c r="I401" s="16">
        <f t="shared" si="50"/>
        <v>6.3881278538812793</v>
      </c>
      <c r="J401" s="5">
        <f t="shared" si="51"/>
        <v>0</v>
      </c>
      <c r="K401" s="5">
        <v>0</v>
      </c>
      <c r="L401" s="5">
        <v>0</v>
      </c>
      <c r="M401" s="5">
        <v>0</v>
      </c>
      <c r="N401" s="48">
        <f t="shared" si="48"/>
        <v>0</v>
      </c>
      <c r="O401" s="48">
        <f t="shared" si="52"/>
        <v>0</v>
      </c>
      <c r="P401" s="48">
        <f t="shared" si="53"/>
        <v>0</v>
      </c>
      <c r="Q401" s="48">
        <f t="shared" si="54"/>
        <v>0</v>
      </c>
      <c r="R401" s="5" t="s">
        <v>682</v>
      </c>
      <c r="S401" s="5" t="s">
        <v>683</v>
      </c>
      <c r="V401" s="44">
        <f t="shared" si="55"/>
        <v>0</v>
      </c>
    </row>
    <row r="402" spans="1:22" x14ac:dyDescent="0.2">
      <c r="A402" s="53" t="s">
        <v>593</v>
      </c>
      <c r="B402" s="1" t="s">
        <v>594</v>
      </c>
      <c r="C402" s="5" t="s">
        <v>49</v>
      </c>
      <c r="E402" s="47">
        <v>12.9</v>
      </c>
      <c r="G402" s="47">
        <f t="shared" si="49"/>
        <v>12.9</v>
      </c>
      <c r="H402" s="47">
        <v>84.9</v>
      </c>
      <c r="I402" s="16">
        <f t="shared" si="50"/>
        <v>6.5813953488372094</v>
      </c>
      <c r="J402" s="5">
        <f t="shared" si="51"/>
        <v>1</v>
      </c>
      <c r="K402" s="5">
        <v>0</v>
      </c>
      <c r="L402" s="5">
        <v>1</v>
      </c>
      <c r="M402" s="5">
        <v>0</v>
      </c>
      <c r="N402" s="48">
        <f t="shared" si="48"/>
        <v>84.9</v>
      </c>
      <c r="O402" s="48">
        <f t="shared" si="52"/>
        <v>0</v>
      </c>
      <c r="P402" s="48">
        <f t="shared" si="53"/>
        <v>84.9</v>
      </c>
      <c r="Q402" s="48">
        <f t="shared" si="54"/>
        <v>12.9</v>
      </c>
      <c r="R402" s="5" t="s">
        <v>682</v>
      </c>
      <c r="S402" s="5" t="s">
        <v>683</v>
      </c>
      <c r="V402" s="44">
        <f t="shared" si="55"/>
        <v>84.9</v>
      </c>
    </row>
    <row r="403" spans="1:22" x14ac:dyDescent="0.2">
      <c r="A403" s="53" t="s">
        <v>595</v>
      </c>
      <c r="B403" s="1" t="s">
        <v>596</v>
      </c>
      <c r="C403" s="5" t="s">
        <v>49</v>
      </c>
      <c r="E403" s="47">
        <v>11.9</v>
      </c>
      <c r="G403" s="47">
        <f t="shared" si="49"/>
        <v>11.9</v>
      </c>
      <c r="H403" s="47">
        <v>89.9</v>
      </c>
      <c r="I403" s="16">
        <f t="shared" si="50"/>
        <v>7.5546218487394965</v>
      </c>
      <c r="J403" s="5">
        <f t="shared" si="51"/>
        <v>0</v>
      </c>
      <c r="K403" s="5">
        <v>0</v>
      </c>
      <c r="L403" s="5">
        <v>0</v>
      </c>
      <c r="M403" s="5">
        <v>0</v>
      </c>
      <c r="N403" s="48">
        <f t="shared" si="48"/>
        <v>0</v>
      </c>
      <c r="O403" s="48">
        <f t="shared" si="52"/>
        <v>0</v>
      </c>
      <c r="P403" s="48">
        <f t="shared" si="53"/>
        <v>0</v>
      </c>
      <c r="Q403" s="48">
        <f t="shared" si="54"/>
        <v>0</v>
      </c>
      <c r="R403" s="5" t="s">
        <v>682</v>
      </c>
      <c r="S403" s="5" t="s">
        <v>683</v>
      </c>
      <c r="V403" s="44">
        <f t="shared" si="55"/>
        <v>0</v>
      </c>
    </row>
    <row r="404" spans="1:22" x14ac:dyDescent="0.2">
      <c r="A404" s="53" t="s">
        <v>597</v>
      </c>
      <c r="B404" s="1" t="s">
        <v>598</v>
      </c>
      <c r="C404" s="5" t="s">
        <v>49</v>
      </c>
      <c r="E404" s="47">
        <v>9.9</v>
      </c>
      <c r="G404" s="47">
        <f t="shared" si="49"/>
        <v>9.9</v>
      </c>
      <c r="H404" s="47">
        <v>69.900000000000006</v>
      </c>
      <c r="I404" s="16">
        <f t="shared" si="50"/>
        <v>7.0606060606060606</v>
      </c>
      <c r="J404" s="5">
        <f t="shared" si="51"/>
        <v>1</v>
      </c>
      <c r="K404" s="5">
        <v>0</v>
      </c>
      <c r="L404" s="5">
        <v>1</v>
      </c>
      <c r="M404" s="5">
        <v>0</v>
      </c>
      <c r="N404" s="48">
        <f t="shared" si="48"/>
        <v>69.900000000000006</v>
      </c>
      <c r="O404" s="48">
        <f t="shared" si="52"/>
        <v>0</v>
      </c>
      <c r="P404" s="48">
        <f t="shared" si="53"/>
        <v>69.900000000000006</v>
      </c>
      <c r="Q404" s="48">
        <f t="shared" si="54"/>
        <v>9.9</v>
      </c>
      <c r="R404" s="5" t="s">
        <v>682</v>
      </c>
      <c r="S404" s="5" t="s">
        <v>683</v>
      </c>
      <c r="V404" s="44">
        <f t="shared" si="55"/>
        <v>69.900000000000006</v>
      </c>
    </row>
    <row r="405" spans="1:22" x14ac:dyDescent="0.2">
      <c r="A405" s="53" t="s">
        <v>599</v>
      </c>
      <c r="B405" s="1" t="s">
        <v>600</v>
      </c>
      <c r="C405" s="5" t="s">
        <v>49</v>
      </c>
      <c r="E405" s="47">
        <v>3.99</v>
      </c>
      <c r="G405" s="47">
        <f t="shared" si="49"/>
        <v>3.99</v>
      </c>
      <c r="H405" s="47">
        <v>59.9</v>
      </c>
      <c r="I405" s="16">
        <f t="shared" si="50"/>
        <v>15.012531328320801</v>
      </c>
      <c r="J405" s="5">
        <f t="shared" si="51"/>
        <v>1</v>
      </c>
      <c r="K405" s="5">
        <v>0</v>
      </c>
      <c r="L405" s="5">
        <v>1</v>
      </c>
      <c r="M405" s="5">
        <v>0</v>
      </c>
      <c r="N405" s="48">
        <f t="shared" si="48"/>
        <v>59.9</v>
      </c>
      <c r="O405" s="48">
        <f t="shared" si="52"/>
        <v>0</v>
      </c>
      <c r="P405" s="48">
        <f t="shared" si="53"/>
        <v>59.9</v>
      </c>
      <c r="Q405" s="48">
        <f t="shared" si="54"/>
        <v>3.99</v>
      </c>
      <c r="R405" s="5" t="s">
        <v>682</v>
      </c>
      <c r="S405" s="5" t="s">
        <v>683</v>
      </c>
      <c r="V405" s="44">
        <f t="shared" si="55"/>
        <v>59.9</v>
      </c>
    </row>
    <row r="406" spans="1:22" x14ac:dyDescent="0.2">
      <c r="A406" s="53">
        <v>12012023</v>
      </c>
      <c r="B406" s="1" t="s">
        <v>601</v>
      </c>
      <c r="C406" s="5" t="s">
        <v>360</v>
      </c>
      <c r="E406" s="47">
        <v>7</v>
      </c>
      <c r="F406" s="47">
        <v>19</v>
      </c>
      <c r="G406" s="47">
        <f t="shared" si="49"/>
        <v>26</v>
      </c>
      <c r="H406" s="47">
        <v>129.9</v>
      </c>
      <c r="I406" s="16">
        <f t="shared" si="50"/>
        <v>4.9961538461538462</v>
      </c>
      <c r="J406" s="5">
        <f t="shared" si="51"/>
        <v>3</v>
      </c>
      <c r="K406" s="5">
        <v>0</v>
      </c>
      <c r="L406" s="5">
        <v>3</v>
      </c>
      <c r="M406" s="5">
        <v>0</v>
      </c>
      <c r="N406" s="48">
        <f t="shared" si="48"/>
        <v>389.70000000000005</v>
      </c>
      <c r="O406" s="48">
        <f t="shared" si="52"/>
        <v>0</v>
      </c>
      <c r="P406" s="48">
        <f t="shared" si="53"/>
        <v>389.70000000000005</v>
      </c>
      <c r="Q406" s="48">
        <f t="shared" si="54"/>
        <v>78</v>
      </c>
      <c r="R406" s="5" t="s">
        <v>682</v>
      </c>
      <c r="S406" s="5" t="s">
        <v>683</v>
      </c>
      <c r="V406" s="44">
        <f t="shared" si="55"/>
        <v>389.70000000000005</v>
      </c>
    </row>
    <row r="407" spans="1:22" x14ac:dyDescent="0.2">
      <c r="A407" s="53">
        <v>5003518</v>
      </c>
      <c r="B407" s="1" t="s">
        <v>602</v>
      </c>
      <c r="C407" s="5" t="s">
        <v>360</v>
      </c>
      <c r="E407" s="47">
        <v>19.3</v>
      </c>
      <c r="F407" s="47">
        <v>15.75</v>
      </c>
      <c r="G407" s="47">
        <f t="shared" si="49"/>
        <v>35.049999999999997</v>
      </c>
      <c r="H407" s="47">
        <v>169.9</v>
      </c>
      <c r="I407" s="16">
        <f t="shared" si="50"/>
        <v>4.8473609129814559</v>
      </c>
      <c r="J407" s="5">
        <f t="shared" si="51"/>
        <v>4</v>
      </c>
      <c r="K407" s="5">
        <v>0</v>
      </c>
      <c r="L407" s="5">
        <v>4</v>
      </c>
      <c r="M407" s="5">
        <v>0</v>
      </c>
      <c r="N407" s="48">
        <f t="shared" si="48"/>
        <v>679.6</v>
      </c>
      <c r="O407" s="48">
        <f t="shared" si="52"/>
        <v>0</v>
      </c>
      <c r="P407" s="48">
        <f t="shared" si="53"/>
        <v>679.6</v>
      </c>
      <c r="Q407" s="48">
        <f t="shared" si="54"/>
        <v>140.19999999999999</v>
      </c>
      <c r="R407" s="5" t="s">
        <v>682</v>
      </c>
      <c r="S407" s="5" t="s">
        <v>683</v>
      </c>
      <c r="V407" s="44">
        <f t="shared" si="55"/>
        <v>679.6</v>
      </c>
    </row>
    <row r="408" spans="1:22" x14ac:dyDescent="0.2">
      <c r="A408" s="53">
        <v>9012132</v>
      </c>
      <c r="B408" s="1" t="s">
        <v>44</v>
      </c>
      <c r="C408" s="5" t="s">
        <v>44</v>
      </c>
      <c r="E408" s="47">
        <v>6.5</v>
      </c>
      <c r="F408" s="47">
        <v>2.38</v>
      </c>
      <c r="G408" s="47">
        <f t="shared" si="49"/>
        <v>8.879999999999999</v>
      </c>
      <c r="H408" s="47">
        <v>0</v>
      </c>
      <c r="I408" s="16">
        <f t="shared" si="50"/>
        <v>0</v>
      </c>
      <c r="J408" s="5">
        <f t="shared" si="51"/>
        <v>1</v>
      </c>
      <c r="K408" s="5">
        <v>0</v>
      </c>
      <c r="L408" s="5">
        <v>1</v>
      </c>
      <c r="M408" s="5">
        <v>0</v>
      </c>
      <c r="N408" s="48">
        <f t="shared" si="48"/>
        <v>0</v>
      </c>
      <c r="O408" s="48">
        <f t="shared" si="52"/>
        <v>0</v>
      </c>
      <c r="P408" s="48">
        <f t="shared" si="53"/>
        <v>0</v>
      </c>
      <c r="Q408" s="48">
        <f t="shared" si="54"/>
        <v>8.879999999999999</v>
      </c>
      <c r="R408" s="5" t="s">
        <v>682</v>
      </c>
      <c r="S408" s="5" t="s">
        <v>683</v>
      </c>
      <c r="V408" s="44">
        <f t="shared" si="55"/>
        <v>0</v>
      </c>
    </row>
    <row r="409" spans="1:22" x14ac:dyDescent="0.2">
      <c r="A409" s="53" t="s">
        <v>603</v>
      </c>
      <c r="B409" s="1" t="s">
        <v>604</v>
      </c>
      <c r="C409" s="5" t="s">
        <v>49</v>
      </c>
      <c r="E409" s="47">
        <v>7.56</v>
      </c>
      <c r="G409" s="47">
        <f t="shared" si="49"/>
        <v>7.56</v>
      </c>
      <c r="H409" s="47">
        <v>49.9</v>
      </c>
      <c r="I409" s="16">
        <f t="shared" si="50"/>
        <v>6.6005291005291005</v>
      </c>
      <c r="J409" s="5">
        <f t="shared" si="51"/>
        <v>1</v>
      </c>
      <c r="K409" s="5">
        <v>0</v>
      </c>
      <c r="L409" s="5">
        <v>1</v>
      </c>
      <c r="M409" s="5">
        <v>0</v>
      </c>
      <c r="N409" s="48">
        <f t="shared" si="48"/>
        <v>49.9</v>
      </c>
      <c r="O409" s="48">
        <f t="shared" si="52"/>
        <v>0</v>
      </c>
      <c r="P409" s="48">
        <f t="shared" si="53"/>
        <v>49.9</v>
      </c>
      <c r="Q409" s="48">
        <f t="shared" si="54"/>
        <v>7.56</v>
      </c>
      <c r="R409" s="5" t="s">
        <v>682</v>
      </c>
      <c r="S409" s="5" t="s">
        <v>683</v>
      </c>
      <c r="V409" s="44">
        <f t="shared" si="55"/>
        <v>49.9</v>
      </c>
    </row>
    <row r="410" spans="1:22" x14ac:dyDescent="0.2">
      <c r="A410" s="53" t="s">
        <v>605</v>
      </c>
      <c r="B410" s="1" t="s">
        <v>606</v>
      </c>
      <c r="C410" s="5" t="s">
        <v>49</v>
      </c>
      <c r="E410" s="47">
        <v>7.56</v>
      </c>
      <c r="G410" s="47">
        <f t="shared" si="49"/>
        <v>7.56</v>
      </c>
      <c r="H410" s="47">
        <v>49.9</v>
      </c>
      <c r="I410" s="16">
        <f t="shared" si="50"/>
        <v>6.6005291005291005</v>
      </c>
      <c r="J410" s="5">
        <f t="shared" si="51"/>
        <v>0</v>
      </c>
      <c r="K410" s="5">
        <v>0</v>
      </c>
      <c r="L410" s="5">
        <v>0</v>
      </c>
      <c r="M410" s="5">
        <v>0</v>
      </c>
      <c r="N410" s="48">
        <f t="shared" si="48"/>
        <v>0</v>
      </c>
      <c r="O410" s="48">
        <f t="shared" si="52"/>
        <v>0</v>
      </c>
      <c r="P410" s="48">
        <f t="shared" si="53"/>
        <v>0</v>
      </c>
      <c r="Q410" s="48">
        <f t="shared" si="54"/>
        <v>0</v>
      </c>
      <c r="R410" s="5" t="s">
        <v>682</v>
      </c>
      <c r="S410" s="5" t="s">
        <v>683</v>
      </c>
      <c r="V410" s="44">
        <f t="shared" si="55"/>
        <v>0</v>
      </c>
    </row>
    <row r="411" spans="1:22" x14ac:dyDescent="0.2">
      <c r="A411" s="53" t="s">
        <v>607</v>
      </c>
      <c r="B411" s="1" t="s">
        <v>608</v>
      </c>
      <c r="C411" s="5" t="s">
        <v>49</v>
      </c>
      <c r="E411" s="47">
        <v>7.56</v>
      </c>
      <c r="G411" s="47">
        <f t="shared" si="49"/>
        <v>7.56</v>
      </c>
      <c r="H411" s="47">
        <v>49.9</v>
      </c>
      <c r="I411" s="16">
        <f t="shared" si="50"/>
        <v>6.6005291005291005</v>
      </c>
      <c r="J411" s="5">
        <f t="shared" si="51"/>
        <v>3</v>
      </c>
      <c r="K411" s="5">
        <v>0</v>
      </c>
      <c r="L411" s="5">
        <v>3</v>
      </c>
      <c r="M411" s="5">
        <v>0</v>
      </c>
      <c r="N411" s="48">
        <f t="shared" si="48"/>
        <v>149.69999999999999</v>
      </c>
      <c r="O411" s="48">
        <f t="shared" si="52"/>
        <v>0</v>
      </c>
      <c r="P411" s="48">
        <f t="shared" si="53"/>
        <v>149.69999999999999</v>
      </c>
      <c r="Q411" s="48">
        <f t="shared" si="54"/>
        <v>22.68</v>
      </c>
      <c r="R411" s="5" t="s">
        <v>682</v>
      </c>
      <c r="S411" s="5" t="s">
        <v>683</v>
      </c>
      <c r="V411" s="44">
        <f t="shared" si="55"/>
        <v>149.69999999999999</v>
      </c>
    </row>
    <row r="412" spans="1:22" x14ac:dyDescent="0.2">
      <c r="A412" s="53" t="s">
        <v>609</v>
      </c>
      <c r="B412" s="1" t="s">
        <v>610</v>
      </c>
      <c r="C412" s="5" t="s">
        <v>49</v>
      </c>
      <c r="E412" s="47">
        <v>7.56</v>
      </c>
      <c r="G412" s="47">
        <f t="shared" si="49"/>
        <v>7.56</v>
      </c>
      <c r="H412" s="47">
        <v>49.9</v>
      </c>
      <c r="I412" s="16">
        <f t="shared" si="50"/>
        <v>6.6005291005291005</v>
      </c>
      <c r="J412" s="5">
        <f t="shared" si="51"/>
        <v>2</v>
      </c>
      <c r="K412" s="5">
        <v>0</v>
      </c>
      <c r="L412" s="5">
        <v>2</v>
      </c>
      <c r="M412" s="5">
        <v>0</v>
      </c>
      <c r="N412" s="48">
        <f t="shared" si="48"/>
        <v>99.8</v>
      </c>
      <c r="O412" s="48">
        <f t="shared" si="52"/>
        <v>0</v>
      </c>
      <c r="P412" s="48">
        <f t="shared" si="53"/>
        <v>99.8</v>
      </c>
      <c r="Q412" s="48">
        <f t="shared" si="54"/>
        <v>15.12</v>
      </c>
      <c r="R412" s="5" t="s">
        <v>682</v>
      </c>
      <c r="S412" s="5" t="s">
        <v>683</v>
      </c>
      <c r="V412" s="44">
        <f t="shared" si="55"/>
        <v>99.8</v>
      </c>
    </row>
    <row r="413" spans="1:22" x14ac:dyDescent="0.2">
      <c r="A413" s="53" t="s">
        <v>611</v>
      </c>
      <c r="B413" s="1" t="s">
        <v>612</v>
      </c>
      <c r="C413" s="5" t="s">
        <v>49</v>
      </c>
      <c r="E413" s="47">
        <v>7.56</v>
      </c>
      <c r="G413" s="47">
        <f t="shared" si="49"/>
        <v>7.56</v>
      </c>
      <c r="H413" s="47">
        <v>49.9</v>
      </c>
      <c r="I413" s="16">
        <f t="shared" si="50"/>
        <v>6.6005291005291005</v>
      </c>
      <c r="J413" s="5">
        <f t="shared" si="51"/>
        <v>2</v>
      </c>
      <c r="K413" s="5">
        <v>0</v>
      </c>
      <c r="L413" s="5">
        <v>2</v>
      </c>
      <c r="M413" s="5">
        <v>0</v>
      </c>
      <c r="N413" s="48">
        <f t="shared" si="48"/>
        <v>99.8</v>
      </c>
      <c r="O413" s="48">
        <f t="shared" si="52"/>
        <v>0</v>
      </c>
      <c r="P413" s="48">
        <f t="shared" si="53"/>
        <v>99.8</v>
      </c>
      <c r="Q413" s="48">
        <f t="shared" si="54"/>
        <v>15.12</v>
      </c>
      <c r="R413" s="5" t="s">
        <v>682</v>
      </c>
      <c r="S413" s="5" t="s">
        <v>683</v>
      </c>
      <c r="V413" s="44">
        <f t="shared" si="55"/>
        <v>99.8</v>
      </c>
    </row>
    <row r="414" spans="1:22" x14ac:dyDescent="0.2">
      <c r="A414" s="53" t="s">
        <v>613</v>
      </c>
      <c r="B414" s="1" t="s">
        <v>614</v>
      </c>
      <c r="C414" s="5" t="s">
        <v>49</v>
      </c>
      <c r="E414" s="47">
        <v>6.85</v>
      </c>
      <c r="G414" s="47">
        <f t="shared" si="49"/>
        <v>6.85</v>
      </c>
      <c r="H414" s="47">
        <v>34.9</v>
      </c>
      <c r="I414" s="16">
        <f t="shared" si="50"/>
        <v>5.0948905109489049</v>
      </c>
      <c r="J414" s="5">
        <f t="shared" si="51"/>
        <v>1</v>
      </c>
      <c r="K414" s="5">
        <v>0</v>
      </c>
      <c r="L414" s="5">
        <v>1</v>
      </c>
      <c r="M414" s="5">
        <v>0</v>
      </c>
      <c r="N414" s="48">
        <f t="shared" si="48"/>
        <v>34.9</v>
      </c>
      <c r="O414" s="48">
        <f t="shared" si="52"/>
        <v>0</v>
      </c>
      <c r="P414" s="48">
        <f t="shared" si="53"/>
        <v>34.9</v>
      </c>
      <c r="Q414" s="48">
        <f t="shared" si="54"/>
        <v>6.85</v>
      </c>
      <c r="R414" s="5" t="s">
        <v>682</v>
      </c>
      <c r="S414" s="5" t="s">
        <v>683</v>
      </c>
      <c r="V414" s="44">
        <f t="shared" si="55"/>
        <v>34.9</v>
      </c>
    </row>
    <row r="415" spans="1:22" x14ac:dyDescent="0.2">
      <c r="A415" s="53" t="s">
        <v>615</v>
      </c>
      <c r="B415" s="1" t="s">
        <v>616</v>
      </c>
      <c r="C415" s="5" t="s">
        <v>49</v>
      </c>
      <c r="E415" s="47">
        <v>6.85</v>
      </c>
      <c r="G415" s="47">
        <f t="shared" si="49"/>
        <v>6.85</v>
      </c>
      <c r="H415" s="47">
        <v>39.9</v>
      </c>
      <c r="I415" s="16">
        <f t="shared" si="50"/>
        <v>5.8248175182481754</v>
      </c>
      <c r="J415" s="5">
        <f t="shared" si="51"/>
        <v>1</v>
      </c>
      <c r="K415" s="5">
        <v>0</v>
      </c>
      <c r="L415" s="5">
        <v>1</v>
      </c>
      <c r="M415" s="5">
        <v>0</v>
      </c>
      <c r="N415" s="48">
        <f t="shared" si="48"/>
        <v>39.9</v>
      </c>
      <c r="O415" s="48">
        <f t="shared" si="52"/>
        <v>0</v>
      </c>
      <c r="P415" s="48">
        <f t="shared" si="53"/>
        <v>39.9</v>
      </c>
      <c r="Q415" s="48">
        <f t="shared" si="54"/>
        <v>6.85</v>
      </c>
      <c r="R415" s="5" t="s">
        <v>682</v>
      </c>
      <c r="S415" s="5" t="s">
        <v>683</v>
      </c>
      <c r="V415" s="44">
        <f t="shared" si="55"/>
        <v>39.9</v>
      </c>
    </row>
    <row r="416" spans="1:22" x14ac:dyDescent="0.2">
      <c r="A416" s="53" t="s">
        <v>617</v>
      </c>
      <c r="B416" s="1" t="s">
        <v>618</v>
      </c>
      <c r="C416" s="5" t="s">
        <v>49</v>
      </c>
      <c r="E416" s="47">
        <v>6.85</v>
      </c>
      <c r="G416" s="47">
        <f t="shared" si="49"/>
        <v>6.85</v>
      </c>
      <c r="H416" s="47">
        <v>34.9</v>
      </c>
      <c r="I416" s="16">
        <f t="shared" si="50"/>
        <v>5.0948905109489049</v>
      </c>
      <c r="J416" s="5">
        <f t="shared" si="51"/>
        <v>1</v>
      </c>
      <c r="K416" s="5">
        <v>0</v>
      </c>
      <c r="L416" s="5">
        <v>1</v>
      </c>
      <c r="M416" s="5">
        <v>0</v>
      </c>
      <c r="N416" s="48">
        <f t="shared" si="48"/>
        <v>34.9</v>
      </c>
      <c r="O416" s="48">
        <f t="shared" si="52"/>
        <v>0</v>
      </c>
      <c r="P416" s="48">
        <f t="shared" si="53"/>
        <v>34.9</v>
      </c>
      <c r="Q416" s="48">
        <f t="shared" si="54"/>
        <v>6.85</v>
      </c>
      <c r="R416" s="5" t="s">
        <v>682</v>
      </c>
      <c r="S416" s="5" t="s">
        <v>683</v>
      </c>
      <c r="V416" s="44">
        <f t="shared" si="55"/>
        <v>34.9</v>
      </c>
    </row>
    <row r="417" spans="1:22" x14ac:dyDescent="0.2">
      <c r="A417" s="53" t="s">
        <v>619</v>
      </c>
      <c r="B417" s="1" t="s">
        <v>620</v>
      </c>
      <c r="C417" s="5" t="s">
        <v>49</v>
      </c>
      <c r="E417" s="47">
        <v>6.85</v>
      </c>
      <c r="G417" s="47">
        <f t="shared" si="49"/>
        <v>6.85</v>
      </c>
      <c r="H417" s="47">
        <v>49.9</v>
      </c>
      <c r="I417" s="16">
        <f t="shared" si="50"/>
        <v>7.2846715328467155</v>
      </c>
      <c r="J417" s="5">
        <f t="shared" si="51"/>
        <v>1</v>
      </c>
      <c r="K417" s="5">
        <v>0</v>
      </c>
      <c r="L417" s="5">
        <v>1</v>
      </c>
      <c r="M417" s="5">
        <v>0</v>
      </c>
      <c r="N417" s="48">
        <f t="shared" si="48"/>
        <v>49.9</v>
      </c>
      <c r="O417" s="48">
        <f t="shared" si="52"/>
        <v>0</v>
      </c>
      <c r="P417" s="48">
        <f t="shared" si="53"/>
        <v>49.9</v>
      </c>
      <c r="Q417" s="48">
        <f t="shared" si="54"/>
        <v>6.85</v>
      </c>
      <c r="R417" s="5" t="s">
        <v>682</v>
      </c>
      <c r="S417" s="5" t="s">
        <v>683</v>
      </c>
      <c r="V417" s="44">
        <f t="shared" si="55"/>
        <v>49.9</v>
      </c>
    </row>
    <row r="418" spans="1:22" x14ac:dyDescent="0.2">
      <c r="A418" s="53" t="s">
        <v>621</v>
      </c>
      <c r="B418" s="1" t="s">
        <v>622</v>
      </c>
      <c r="C418" s="5" t="s">
        <v>49</v>
      </c>
      <c r="E418" s="47">
        <v>7.56</v>
      </c>
      <c r="G418" s="47">
        <f t="shared" si="49"/>
        <v>7.56</v>
      </c>
      <c r="H418" s="47">
        <v>49.9</v>
      </c>
      <c r="I418" s="16">
        <f t="shared" si="50"/>
        <v>6.6005291005291005</v>
      </c>
      <c r="J418" s="5">
        <f t="shared" si="51"/>
        <v>0</v>
      </c>
      <c r="K418" s="5">
        <v>0</v>
      </c>
      <c r="L418" s="5">
        <v>0</v>
      </c>
      <c r="M418" s="5">
        <v>0</v>
      </c>
      <c r="N418" s="48">
        <f t="shared" si="48"/>
        <v>0</v>
      </c>
      <c r="O418" s="48">
        <f t="shared" si="52"/>
        <v>0</v>
      </c>
      <c r="P418" s="48">
        <f t="shared" si="53"/>
        <v>0</v>
      </c>
      <c r="Q418" s="48">
        <f t="shared" si="54"/>
        <v>0</v>
      </c>
      <c r="R418" s="5" t="s">
        <v>682</v>
      </c>
      <c r="S418" s="5" t="s">
        <v>683</v>
      </c>
      <c r="V418" s="44">
        <f t="shared" si="55"/>
        <v>0</v>
      </c>
    </row>
    <row r="419" spans="1:22" x14ac:dyDescent="0.2">
      <c r="A419" s="53" t="s">
        <v>623</v>
      </c>
      <c r="B419" s="1" t="s">
        <v>624</v>
      </c>
      <c r="C419" s="5" t="s">
        <v>49</v>
      </c>
      <c r="E419" s="47">
        <v>7.56</v>
      </c>
      <c r="G419" s="47">
        <f t="shared" si="49"/>
        <v>7.56</v>
      </c>
      <c r="H419" s="47">
        <v>49.9</v>
      </c>
      <c r="I419" s="16">
        <f t="shared" si="50"/>
        <v>6.6005291005291005</v>
      </c>
      <c r="J419" s="5">
        <f t="shared" si="51"/>
        <v>2</v>
      </c>
      <c r="K419" s="5">
        <v>0</v>
      </c>
      <c r="L419" s="5">
        <v>2</v>
      </c>
      <c r="M419" s="5">
        <v>0</v>
      </c>
      <c r="N419" s="48">
        <f t="shared" si="48"/>
        <v>99.8</v>
      </c>
      <c r="O419" s="48">
        <f t="shared" si="52"/>
        <v>0</v>
      </c>
      <c r="P419" s="48">
        <f t="shared" si="53"/>
        <v>99.8</v>
      </c>
      <c r="Q419" s="48">
        <f t="shared" si="54"/>
        <v>15.12</v>
      </c>
      <c r="R419" s="5" t="s">
        <v>682</v>
      </c>
      <c r="S419" s="5" t="s">
        <v>683</v>
      </c>
      <c r="V419" s="44">
        <f t="shared" si="55"/>
        <v>99.8</v>
      </c>
    </row>
    <row r="420" spans="1:22" x14ac:dyDescent="0.2">
      <c r="A420" s="53" t="s">
        <v>625</v>
      </c>
      <c r="B420" s="1" t="s">
        <v>626</v>
      </c>
      <c r="C420" s="5" t="s">
        <v>49</v>
      </c>
      <c r="E420" s="47">
        <v>7.56</v>
      </c>
      <c r="G420" s="47">
        <f t="shared" si="49"/>
        <v>7.56</v>
      </c>
      <c r="H420" s="47">
        <v>49.9</v>
      </c>
      <c r="I420" s="16">
        <f t="shared" si="50"/>
        <v>6.6005291005291005</v>
      </c>
      <c r="J420" s="5">
        <f t="shared" si="51"/>
        <v>2</v>
      </c>
      <c r="K420" s="5">
        <v>0</v>
      </c>
      <c r="L420" s="5">
        <v>2</v>
      </c>
      <c r="M420" s="5">
        <v>0</v>
      </c>
      <c r="N420" s="48">
        <f t="shared" si="48"/>
        <v>99.8</v>
      </c>
      <c r="O420" s="48">
        <f t="shared" si="52"/>
        <v>0</v>
      </c>
      <c r="P420" s="48">
        <f t="shared" si="53"/>
        <v>99.8</v>
      </c>
      <c r="Q420" s="48">
        <f t="shared" si="54"/>
        <v>15.12</v>
      </c>
      <c r="R420" s="5" t="s">
        <v>682</v>
      </c>
      <c r="S420" s="5" t="s">
        <v>683</v>
      </c>
      <c r="V420" s="44">
        <f t="shared" si="55"/>
        <v>99.8</v>
      </c>
    </row>
    <row r="421" spans="1:22" x14ac:dyDescent="0.2">
      <c r="A421" s="53" t="s">
        <v>627</v>
      </c>
      <c r="B421" s="1" t="s">
        <v>628</v>
      </c>
      <c r="C421" s="5" t="s">
        <v>49</v>
      </c>
      <c r="E421" s="47">
        <v>7.56</v>
      </c>
      <c r="G421" s="47">
        <f t="shared" si="49"/>
        <v>7.56</v>
      </c>
      <c r="H421" s="47">
        <v>49.9</v>
      </c>
      <c r="I421" s="16">
        <f t="shared" si="50"/>
        <v>6.6005291005291005</v>
      </c>
      <c r="J421" s="5">
        <f t="shared" si="51"/>
        <v>2</v>
      </c>
      <c r="K421" s="5">
        <v>0</v>
      </c>
      <c r="L421" s="5">
        <v>2</v>
      </c>
      <c r="M421" s="5">
        <v>0</v>
      </c>
      <c r="N421" s="48">
        <f t="shared" si="48"/>
        <v>99.8</v>
      </c>
      <c r="O421" s="48">
        <f t="shared" si="52"/>
        <v>0</v>
      </c>
      <c r="P421" s="48">
        <f t="shared" si="53"/>
        <v>99.8</v>
      </c>
      <c r="Q421" s="48">
        <f t="shared" si="54"/>
        <v>15.12</v>
      </c>
      <c r="R421" s="5" t="s">
        <v>682</v>
      </c>
      <c r="S421" s="5" t="s">
        <v>683</v>
      </c>
      <c r="V421" s="44">
        <f t="shared" si="55"/>
        <v>99.8</v>
      </c>
    </row>
    <row r="422" spans="1:22" x14ac:dyDescent="0.2">
      <c r="A422" s="53" t="s">
        <v>629</v>
      </c>
      <c r="B422" s="1" t="s">
        <v>630</v>
      </c>
      <c r="C422" s="5" t="s">
        <v>49</v>
      </c>
      <c r="E422" s="47">
        <v>7.65</v>
      </c>
      <c r="G422" s="47">
        <f t="shared" si="49"/>
        <v>7.65</v>
      </c>
      <c r="H422" s="47">
        <v>39.9</v>
      </c>
      <c r="I422" s="16">
        <f t="shared" si="50"/>
        <v>5.2156862745098032</v>
      </c>
      <c r="J422" s="5">
        <f t="shared" si="51"/>
        <v>8</v>
      </c>
      <c r="K422" s="5">
        <v>1</v>
      </c>
      <c r="L422" s="5">
        <v>7</v>
      </c>
      <c r="M422" s="5">
        <v>0</v>
      </c>
      <c r="N422" s="48">
        <f t="shared" si="48"/>
        <v>279.3</v>
      </c>
      <c r="O422" s="48">
        <f t="shared" si="52"/>
        <v>39.9</v>
      </c>
      <c r="P422" s="48">
        <f t="shared" si="53"/>
        <v>319.2</v>
      </c>
      <c r="Q422" s="48">
        <f t="shared" si="54"/>
        <v>61.2</v>
      </c>
      <c r="R422" s="5" t="s">
        <v>682</v>
      </c>
      <c r="S422" s="5" t="s">
        <v>683</v>
      </c>
      <c r="V422" s="44">
        <f t="shared" si="55"/>
        <v>279.3</v>
      </c>
    </row>
    <row r="423" spans="1:22" x14ac:dyDescent="0.2">
      <c r="A423" s="53" t="s">
        <v>631</v>
      </c>
      <c r="B423" s="1" t="s">
        <v>632</v>
      </c>
      <c r="C423" s="5" t="s">
        <v>49</v>
      </c>
      <c r="E423" s="47">
        <v>8.81</v>
      </c>
      <c r="G423" s="47">
        <f t="shared" si="49"/>
        <v>8.81</v>
      </c>
      <c r="H423" s="47">
        <v>49.9</v>
      </c>
      <c r="I423" s="16">
        <f t="shared" si="50"/>
        <v>5.6640181611804765</v>
      </c>
      <c r="J423" s="5">
        <f t="shared" si="51"/>
        <v>2</v>
      </c>
      <c r="K423" s="5">
        <v>0</v>
      </c>
      <c r="L423" s="5">
        <v>2</v>
      </c>
      <c r="M423" s="5">
        <v>0</v>
      </c>
      <c r="N423" s="48">
        <f t="shared" si="48"/>
        <v>99.8</v>
      </c>
      <c r="O423" s="48">
        <f t="shared" si="52"/>
        <v>0</v>
      </c>
      <c r="P423" s="48">
        <f t="shared" si="53"/>
        <v>99.8</v>
      </c>
      <c r="Q423" s="48">
        <f t="shared" si="54"/>
        <v>17.62</v>
      </c>
      <c r="R423" s="5" t="s">
        <v>682</v>
      </c>
      <c r="S423" s="5" t="s">
        <v>683</v>
      </c>
      <c r="V423" s="44">
        <f t="shared" si="55"/>
        <v>99.8</v>
      </c>
    </row>
    <row r="424" spans="1:22" x14ac:dyDescent="0.2">
      <c r="A424" s="53" t="s">
        <v>633</v>
      </c>
      <c r="B424" s="1" t="s">
        <v>634</v>
      </c>
      <c r="C424" s="5" t="s">
        <v>49</v>
      </c>
      <c r="E424" s="47">
        <v>8.81</v>
      </c>
      <c r="G424" s="47">
        <f t="shared" si="49"/>
        <v>8.81</v>
      </c>
      <c r="H424" s="47">
        <v>49.9</v>
      </c>
      <c r="I424" s="16">
        <f t="shared" si="50"/>
        <v>5.6640181611804765</v>
      </c>
      <c r="J424" s="5">
        <f t="shared" si="51"/>
        <v>2</v>
      </c>
      <c r="K424" s="5">
        <v>0</v>
      </c>
      <c r="L424" s="5">
        <v>2</v>
      </c>
      <c r="M424" s="5">
        <v>0</v>
      </c>
      <c r="N424" s="48">
        <f t="shared" si="48"/>
        <v>99.8</v>
      </c>
      <c r="O424" s="48">
        <f t="shared" si="52"/>
        <v>0</v>
      </c>
      <c r="P424" s="48">
        <f t="shared" si="53"/>
        <v>99.8</v>
      </c>
      <c r="Q424" s="48">
        <f t="shared" si="54"/>
        <v>17.62</v>
      </c>
      <c r="R424" s="5" t="s">
        <v>682</v>
      </c>
      <c r="S424" s="5" t="s">
        <v>683</v>
      </c>
      <c r="V424" s="44">
        <f t="shared" si="55"/>
        <v>99.8</v>
      </c>
    </row>
    <row r="425" spans="1:22" x14ac:dyDescent="0.2">
      <c r="A425" s="53" t="s">
        <v>635</v>
      </c>
      <c r="B425" s="1" t="s">
        <v>636</v>
      </c>
      <c r="C425" s="5" t="s">
        <v>49</v>
      </c>
      <c r="E425" s="47">
        <v>8.81</v>
      </c>
      <c r="G425" s="47">
        <f t="shared" si="49"/>
        <v>8.81</v>
      </c>
      <c r="H425" s="47">
        <v>49.9</v>
      </c>
      <c r="I425" s="16">
        <f t="shared" si="50"/>
        <v>5.6640181611804765</v>
      </c>
      <c r="J425" s="5">
        <f t="shared" si="51"/>
        <v>1</v>
      </c>
      <c r="K425" s="5">
        <v>0</v>
      </c>
      <c r="L425" s="5">
        <v>1</v>
      </c>
      <c r="M425" s="5">
        <v>0</v>
      </c>
      <c r="N425" s="48">
        <f t="shared" si="48"/>
        <v>49.9</v>
      </c>
      <c r="O425" s="48">
        <f t="shared" si="52"/>
        <v>0</v>
      </c>
      <c r="P425" s="48">
        <f t="shared" si="53"/>
        <v>49.9</v>
      </c>
      <c r="Q425" s="48">
        <f t="shared" si="54"/>
        <v>8.81</v>
      </c>
      <c r="R425" s="5" t="s">
        <v>682</v>
      </c>
      <c r="S425" s="5" t="s">
        <v>683</v>
      </c>
      <c r="V425" s="44">
        <f t="shared" si="55"/>
        <v>49.9</v>
      </c>
    </row>
    <row r="426" spans="1:22" x14ac:dyDescent="0.2">
      <c r="A426" s="53" t="s">
        <v>637</v>
      </c>
      <c r="B426" s="1" t="s">
        <v>638</v>
      </c>
      <c r="C426" s="5" t="s">
        <v>49</v>
      </c>
      <c r="E426" s="47">
        <v>11.31</v>
      </c>
      <c r="G426" s="47">
        <f t="shared" si="49"/>
        <v>11.31</v>
      </c>
      <c r="H426" s="47">
        <v>49.9</v>
      </c>
      <c r="I426" s="16">
        <f t="shared" si="50"/>
        <v>4.4120247568523423</v>
      </c>
      <c r="J426" s="5">
        <f t="shared" si="51"/>
        <v>1</v>
      </c>
      <c r="K426" s="5">
        <v>0</v>
      </c>
      <c r="L426" s="5">
        <v>1</v>
      </c>
      <c r="M426" s="5">
        <v>0</v>
      </c>
      <c r="N426" s="48">
        <f t="shared" si="48"/>
        <v>49.9</v>
      </c>
      <c r="O426" s="48">
        <f t="shared" si="52"/>
        <v>0</v>
      </c>
      <c r="P426" s="48">
        <f t="shared" si="53"/>
        <v>49.9</v>
      </c>
      <c r="Q426" s="48">
        <f t="shared" si="54"/>
        <v>11.31</v>
      </c>
      <c r="R426" s="5" t="s">
        <v>682</v>
      </c>
      <c r="S426" s="5" t="s">
        <v>683</v>
      </c>
      <c r="V426" s="44">
        <f t="shared" si="55"/>
        <v>49.9</v>
      </c>
    </row>
    <row r="427" spans="1:22" x14ac:dyDescent="0.2">
      <c r="A427" s="53" t="s">
        <v>639</v>
      </c>
      <c r="B427" s="1" t="s">
        <v>640</v>
      </c>
      <c r="C427" s="5" t="s">
        <v>49</v>
      </c>
      <c r="E427" s="47">
        <v>11.31</v>
      </c>
      <c r="G427" s="47">
        <f t="shared" si="49"/>
        <v>11.31</v>
      </c>
      <c r="H427" s="47">
        <v>49.9</v>
      </c>
      <c r="I427" s="16">
        <f t="shared" si="50"/>
        <v>4.4120247568523423</v>
      </c>
      <c r="J427" s="5">
        <f t="shared" si="51"/>
        <v>1</v>
      </c>
      <c r="K427" s="5">
        <v>0</v>
      </c>
      <c r="L427" s="5">
        <v>1</v>
      </c>
      <c r="M427" s="5">
        <v>0</v>
      </c>
      <c r="N427" s="48">
        <f t="shared" si="48"/>
        <v>49.9</v>
      </c>
      <c r="O427" s="48">
        <f t="shared" si="52"/>
        <v>0</v>
      </c>
      <c r="P427" s="48">
        <f t="shared" si="53"/>
        <v>49.9</v>
      </c>
      <c r="Q427" s="48">
        <f t="shared" si="54"/>
        <v>11.31</v>
      </c>
      <c r="R427" s="5" t="s">
        <v>682</v>
      </c>
      <c r="S427" s="5" t="s">
        <v>683</v>
      </c>
      <c r="V427" s="44">
        <f t="shared" si="55"/>
        <v>49.9</v>
      </c>
    </row>
    <row r="428" spans="1:22" x14ac:dyDescent="0.2">
      <c r="A428" s="53" t="s">
        <v>641</v>
      </c>
      <c r="B428" s="1" t="s">
        <v>642</v>
      </c>
      <c r="C428" s="5" t="s">
        <v>49</v>
      </c>
      <c r="E428" s="47">
        <v>7.56</v>
      </c>
      <c r="G428" s="47">
        <f t="shared" si="49"/>
        <v>7.56</v>
      </c>
      <c r="H428" s="47">
        <v>34.9</v>
      </c>
      <c r="I428" s="16">
        <f t="shared" si="50"/>
        <v>4.6164021164021163</v>
      </c>
      <c r="J428" s="5">
        <f t="shared" si="51"/>
        <v>1</v>
      </c>
      <c r="K428" s="5">
        <v>0</v>
      </c>
      <c r="L428" s="5">
        <v>1</v>
      </c>
      <c r="M428" s="5">
        <v>0</v>
      </c>
      <c r="N428" s="48">
        <f t="shared" si="48"/>
        <v>34.9</v>
      </c>
      <c r="O428" s="48">
        <f t="shared" si="52"/>
        <v>0</v>
      </c>
      <c r="P428" s="48">
        <f t="shared" si="53"/>
        <v>34.9</v>
      </c>
      <c r="Q428" s="48">
        <f t="shared" si="54"/>
        <v>7.56</v>
      </c>
      <c r="R428" s="5" t="s">
        <v>682</v>
      </c>
      <c r="S428" s="5" t="s">
        <v>683</v>
      </c>
      <c r="V428" s="44">
        <f t="shared" si="55"/>
        <v>34.9</v>
      </c>
    </row>
    <row r="429" spans="1:22" x14ac:dyDescent="0.2">
      <c r="A429" s="53" t="s">
        <v>643</v>
      </c>
      <c r="B429" s="1" t="s">
        <v>644</v>
      </c>
      <c r="C429" s="5" t="s">
        <v>49</v>
      </c>
      <c r="E429" s="47">
        <v>7.56</v>
      </c>
      <c r="G429" s="47">
        <f t="shared" si="49"/>
        <v>7.56</v>
      </c>
      <c r="H429" s="47">
        <v>34.9</v>
      </c>
      <c r="I429" s="16">
        <f t="shared" si="50"/>
        <v>4.6164021164021163</v>
      </c>
      <c r="J429" s="5">
        <f t="shared" si="51"/>
        <v>1</v>
      </c>
      <c r="K429" s="5">
        <v>0</v>
      </c>
      <c r="L429" s="5">
        <v>1</v>
      </c>
      <c r="M429" s="5">
        <v>0</v>
      </c>
      <c r="N429" s="48">
        <f t="shared" si="48"/>
        <v>34.9</v>
      </c>
      <c r="O429" s="48">
        <f t="shared" si="52"/>
        <v>0</v>
      </c>
      <c r="P429" s="48">
        <f t="shared" si="53"/>
        <v>34.9</v>
      </c>
      <c r="Q429" s="48">
        <f t="shared" si="54"/>
        <v>7.56</v>
      </c>
      <c r="R429" s="5" t="s">
        <v>682</v>
      </c>
      <c r="S429" s="5" t="s">
        <v>683</v>
      </c>
      <c r="V429" s="44">
        <f t="shared" si="55"/>
        <v>34.9</v>
      </c>
    </row>
    <row r="430" spans="1:22" x14ac:dyDescent="0.2">
      <c r="A430" s="53" t="s">
        <v>645</v>
      </c>
      <c r="B430" s="1" t="s">
        <v>646</v>
      </c>
      <c r="C430" s="5" t="s">
        <v>49</v>
      </c>
      <c r="E430" s="47">
        <v>7.56</v>
      </c>
      <c r="G430" s="47">
        <f t="shared" si="49"/>
        <v>7.56</v>
      </c>
      <c r="H430" s="47">
        <v>34.9</v>
      </c>
      <c r="I430" s="16">
        <f t="shared" si="50"/>
        <v>4.6164021164021163</v>
      </c>
      <c r="J430" s="5">
        <f t="shared" si="51"/>
        <v>1</v>
      </c>
      <c r="K430" s="5">
        <v>0</v>
      </c>
      <c r="L430" s="5">
        <v>1</v>
      </c>
      <c r="M430" s="5">
        <v>0</v>
      </c>
      <c r="N430" s="48">
        <f t="shared" si="48"/>
        <v>34.9</v>
      </c>
      <c r="O430" s="48">
        <f t="shared" si="52"/>
        <v>0</v>
      </c>
      <c r="P430" s="48">
        <f t="shared" si="53"/>
        <v>34.9</v>
      </c>
      <c r="Q430" s="48">
        <f t="shared" si="54"/>
        <v>7.56</v>
      </c>
      <c r="R430" s="5" t="s">
        <v>682</v>
      </c>
      <c r="S430" s="5" t="s">
        <v>683</v>
      </c>
      <c r="V430" s="44">
        <f t="shared" si="55"/>
        <v>34.9</v>
      </c>
    </row>
    <row r="431" spans="1:22" x14ac:dyDescent="0.2">
      <c r="A431" s="53" t="s">
        <v>647</v>
      </c>
      <c r="B431" s="1" t="s">
        <v>648</v>
      </c>
      <c r="C431" s="5" t="s">
        <v>49</v>
      </c>
      <c r="E431" s="47">
        <v>6.06</v>
      </c>
      <c r="G431" s="47">
        <f t="shared" si="49"/>
        <v>6.06</v>
      </c>
      <c r="H431" s="47">
        <v>49.9</v>
      </c>
      <c r="I431" s="16">
        <f t="shared" si="50"/>
        <v>8.2343234323432348</v>
      </c>
      <c r="J431" s="5">
        <f t="shared" si="51"/>
        <v>1</v>
      </c>
      <c r="K431" s="5">
        <v>0</v>
      </c>
      <c r="L431" s="5">
        <v>1</v>
      </c>
      <c r="M431" s="5">
        <v>0</v>
      </c>
      <c r="N431" s="48">
        <f t="shared" si="48"/>
        <v>49.9</v>
      </c>
      <c r="O431" s="48">
        <f t="shared" si="52"/>
        <v>0</v>
      </c>
      <c r="P431" s="48">
        <f t="shared" si="53"/>
        <v>49.9</v>
      </c>
      <c r="Q431" s="48">
        <f t="shared" si="54"/>
        <v>6.06</v>
      </c>
      <c r="R431" s="5" t="s">
        <v>682</v>
      </c>
      <c r="S431" s="5" t="s">
        <v>683</v>
      </c>
      <c r="V431" s="44">
        <f t="shared" si="55"/>
        <v>49.9</v>
      </c>
    </row>
    <row r="432" spans="1:22" x14ac:dyDescent="0.2">
      <c r="A432" s="53" t="s">
        <v>649</v>
      </c>
      <c r="B432" s="1" t="s">
        <v>650</v>
      </c>
      <c r="C432" s="5" t="s">
        <v>49</v>
      </c>
      <c r="E432" s="47">
        <v>6.06</v>
      </c>
      <c r="G432" s="47">
        <f t="shared" si="49"/>
        <v>6.06</v>
      </c>
      <c r="H432" s="47">
        <v>49.9</v>
      </c>
      <c r="I432" s="16">
        <f t="shared" si="50"/>
        <v>8.2343234323432348</v>
      </c>
      <c r="J432" s="5">
        <f t="shared" si="51"/>
        <v>1</v>
      </c>
      <c r="K432" s="5">
        <v>1</v>
      </c>
      <c r="L432" s="5">
        <v>0</v>
      </c>
      <c r="M432" s="5">
        <v>0</v>
      </c>
      <c r="N432" s="48">
        <f t="shared" si="48"/>
        <v>0</v>
      </c>
      <c r="O432" s="48">
        <f t="shared" si="52"/>
        <v>49.9</v>
      </c>
      <c r="P432" s="48">
        <f t="shared" si="53"/>
        <v>49.9</v>
      </c>
      <c r="Q432" s="48">
        <f t="shared" si="54"/>
        <v>6.06</v>
      </c>
      <c r="R432" s="5" t="s">
        <v>682</v>
      </c>
      <c r="S432" s="5" t="s">
        <v>683</v>
      </c>
      <c r="V432" s="44">
        <f t="shared" si="55"/>
        <v>0</v>
      </c>
    </row>
    <row r="433" spans="1:22" x14ac:dyDescent="0.2">
      <c r="A433" s="53" t="s">
        <v>651</v>
      </c>
      <c r="B433" s="1" t="s">
        <v>652</v>
      </c>
      <c r="C433" s="5" t="s">
        <v>49</v>
      </c>
      <c r="E433" s="47">
        <v>6.06</v>
      </c>
      <c r="G433" s="47">
        <f t="shared" si="49"/>
        <v>6.06</v>
      </c>
      <c r="H433" s="47">
        <v>49.9</v>
      </c>
      <c r="I433" s="16">
        <f t="shared" si="50"/>
        <v>8.2343234323432348</v>
      </c>
      <c r="J433" s="5">
        <f t="shared" si="51"/>
        <v>1</v>
      </c>
      <c r="K433" s="5">
        <v>0</v>
      </c>
      <c r="L433" s="5">
        <v>1</v>
      </c>
      <c r="M433" s="5">
        <v>0</v>
      </c>
      <c r="N433" s="48">
        <f t="shared" si="48"/>
        <v>49.9</v>
      </c>
      <c r="O433" s="48">
        <f t="shared" si="52"/>
        <v>0</v>
      </c>
      <c r="P433" s="48">
        <f t="shared" si="53"/>
        <v>49.9</v>
      </c>
      <c r="Q433" s="48">
        <f t="shared" si="54"/>
        <v>6.06</v>
      </c>
      <c r="R433" s="5" t="s">
        <v>682</v>
      </c>
      <c r="S433" s="5" t="s">
        <v>683</v>
      </c>
      <c r="V433" s="44">
        <f t="shared" si="55"/>
        <v>49.9</v>
      </c>
    </row>
    <row r="434" spans="1:22" x14ac:dyDescent="0.2">
      <c r="A434" s="53" t="s">
        <v>653</v>
      </c>
      <c r="B434" s="1" t="s">
        <v>654</v>
      </c>
      <c r="C434" s="5" t="s">
        <v>49</v>
      </c>
      <c r="E434" s="47">
        <v>6.06</v>
      </c>
      <c r="G434" s="47">
        <f t="shared" si="49"/>
        <v>6.06</v>
      </c>
      <c r="H434" s="47">
        <v>49.9</v>
      </c>
      <c r="I434" s="16">
        <f t="shared" si="50"/>
        <v>8.2343234323432348</v>
      </c>
      <c r="J434" s="5">
        <f t="shared" si="51"/>
        <v>1</v>
      </c>
      <c r="K434" s="5">
        <v>0</v>
      </c>
      <c r="L434" s="5">
        <v>1</v>
      </c>
      <c r="M434" s="5">
        <v>0</v>
      </c>
      <c r="N434" s="48">
        <f t="shared" si="48"/>
        <v>49.9</v>
      </c>
      <c r="O434" s="48">
        <f t="shared" si="52"/>
        <v>0</v>
      </c>
      <c r="P434" s="48">
        <f t="shared" si="53"/>
        <v>49.9</v>
      </c>
      <c r="Q434" s="48">
        <f t="shared" si="54"/>
        <v>6.06</v>
      </c>
      <c r="R434" s="5" t="s">
        <v>682</v>
      </c>
      <c r="S434" s="5" t="s">
        <v>683</v>
      </c>
      <c r="V434" s="44">
        <f t="shared" si="55"/>
        <v>49.9</v>
      </c>
    </row>
    <row r="435" spans="1:22" x14ac:dyDescent="0.2">
      <c r="A435" s="53" t="s">
        <v>655</v>
      </c>
      <c r="B435" s="1" t="s">
        <v>656</v>
      </c>
      <c r="C435" s="5" t="s">
        <v>49</v>
      </c>
      <c r="G435" s="47">
        <f t="shared" si="49"/>
        <v>0</v>
      </c>
      <c r="H435" s="47">
        <v>34.9</v>
      </c>
      <c r="I435" s="16" t="str">
        <f t="shared" si="50"/>
        <v>SEM INFORMAÇÃO DE CUSTOS</v>
      </c>
      <c r="J435" s="5">
        <f t="shared" si="51"/>
        <v>1</v>
      </c>
      <c r="K435" s="5">
        <v>0</v>
      </c>
      <c r="L435" s="5">
        <v>1</v>
      </c>
      <c r="M435" s="5">
        <v>0</v>
      </c>
      <c r="N435" s="48">
        <f t="shared" si="48"/>
        <v>34.9</v>
      </c>
      <c r="O435" s="48">
        <f t="shared" si="52"/>
        <v>0</v>
      </c>
      <c r="P435" s="48">
        <f t="shared" si="53"/>
        <v>34.9</v>
      </c>
      <c r="Q435" s="48">
        <f t="shared" si="54"/>
        <v>0</v>
      </c>
      <c r="R435" s="5" t="s">
        <v>682</v>
      </c>
      <c r="S435" s="5" t="s">
        <v>683</v>
      </c>
      <c r="V435" s="44">
        <f t="shared" si="55"/>
        <v>34.9</v>
      </c>
    </row>
    <row r="436" spans="1:22" x14ac:dyDescent="0.2">
      <c r="A436" s="53" t="s">
        <v>657</v>
      </c>
      <c r="B436" s="1" t="s">
        <v>658</v>
      </c>
      <c r="C436" s="5" t="s">
        <v>49</v>
      </c>
      <c r="G436" s="47">
        <f t="shared" si="49"/>
        <v>0</v>
      </c>
      <c r="H436" s="47">
        <v>34.9</v>
      </c>
      <c r="I436" s="16" t="str">
        <f t="shared" si="50"/>
        <v>SEM INFORMAÇÃO DE CUSTOS</v>
      </c>
      <c r="J436" s="5">
        <f t="shared" si="51"/>
        <v>0</v>
      </c>
      <c r="K436" s="5">
        <v>0</v>
      </c>
      <c r="L436" s="5">
        <v>0</v>
      </c>
      <c r="M436" s="5">
        <v>0</v>
      </c>
      <c r="N436" s="48">
        <f t="shared" si="48"/>
        <v>0</v>
      </c>
      <c r="O436" s="48">
        <f t="shared" si="52"/>
        <v>0</v>
      </c>
      <c r="P436" s="48">
        <f t="shared" si="53"/>
        <v>0</v>
      </c>
      <c r="Q436" s="48">
        <f t="shared" si="54"/>
        <v>0</v>
      </c>
      <c r="R436" s="5" t="s">
        <v>682</v>
      </c>
      <c r="S436" s="5" t="s">
        <v>683</v>
      </c>
      <c r="V436" s="44">
        <f t="shared" si="55"/>
        <v>0</v>
      </c>
    </row>
    <row r="437" spans="1:22" x14ac:dyDescent="0.2">
      <c r="A437" s="53">
        <v>619253</v>
      </c>
      <c r="B437" s="1" t="s">
        <v>144</v>
      </c>
      <c r="C437" s="5" t="s">
        <v>144</v>
      </c>
      <c r="E437" s="47">
        <v>6.9</v>
      </c>
      <c r="F437" s="47">
        <v>41.42</v>
      </c>
      <c r="G437" s="47">
        <f t="shared" si="49"/>
        <v>48.32</v>
      </c>
      <c r="H437" s="47">
        <v>249.9</v>
      </c>
      <c r="I437" s="16">
        <f t="shared" si="50"/>
        <v>5.1717715231788084</v>
      </c>
      <c r="J437" s="5">
        <f t="shared" si="51"/>
        <v>1</v>
      </c>
      <c r="K437" s="5">
        <v>0</v>
      </c>
      <c r="L437" s="5">
        <v>1</v>
      </c>
      <c r="M437" s="5">
        <v>0</v>
      </c>
      <c r="N437" s="48">
        <f t="shared" si="48"/>
        <v>249.9</v>
      </c>
      <c r="O437" s="48">
        <f t="shared" si="52"/>
        <v>0</v>
      </c>
      <c r="P437" s="48">
        <f t="shared" si="53"/>
        <v>249.9</v>
      </c>
      <c r="Q437" s="48">
        <f t="shared" si="54"/>
        <v>48.32</v>
      </c>
      <c r="R437" s="5" t="s">
        <v>682</v>
      </c>
      <c r="S437" s="5" t="s">
        <v>683</v>
      </c>
      <c r="V437" s="44">
        <f t="shared" si="55"/>
        <v>249.9</v>
      </c>
    </row>
    <row r="438" spans="1:22" x14ac:dyDescent="0.2">
      <c r="A438" s="53">
        <v>120198</v>
      </c>
      <c r="B438" s="1" t="s">
        <v>659</v>
      </c>
      <c r="C438" s="5" t="s">
        <v>49</v>
      </c>
      <c r="E438" s="47">
        <v>2.5</v>
      </c>
      <c r="F438" s="47">
        <v>6.55</v>
      </c>
      <c r="G438" s="47">
        <f t="shared" si="49"/>
        <v>9.0500000000000007</v>
      </c>
      <c r="H438" s="47">
        <v>74.900000000000006</v>
      </c>
      <c r="I438" s="16">
        <f t="shared" si="50"/>
        <v>8.2762430939226519</v>
      </c>
      <c r="J438" s="5">
        <f t="shared" si="51"/>
        <v>2</v>
      </c>
      <c r="K438" s="5">
        <v>0</v>
      </c>
      <c r="L438" s="5">
        <v>2</v>
      </c>
      <c r="M438" s="5">
        <v>0</v>
      </c>
      <c r="N438" s="48">
        <f t="shared" si="48"/>
        <v>149.80000000000001</v>
      </c>
      <c r="O438" s="48">
        <f t="shared" si="52"/>
        <v>0</v>
      </c>
      <c r="P438" s="48">
        <f t="shared" si="53"/>
        <v>149.80000000000001</v>
      </c>
      <c r="Q438" s="48">
        <f t="shared" si="54"/>
        <v>18.100000000000001</v>
      </c>
      <c r="R438" s="5" t="s">
        <v>682</v>
      </c>
      <c r="S438" s="5" t="s">
        <v>683</v>
      </c>
      <c r="V438" s="44">
        <f t="shared" si="55"/>
        <v>149.80000000000001</v>
      </c>
    </row>
    <row r="439" spans="1:22" x14ac:dyDescent="0.2">
      <c r="A439" s="53">
        <v>424273</v>
      </c>
      <c r="B439" s="1" t="s">
        <v>660</v>
      </c>
      <c r="C439" s="5" t="s">
        <v>49</v>
      </c>
      <c r="E439" s="47">
        <v>2.5</v>
      </c>
      <c r="F439" s="47">
        <v>6.55</v>
      </c>
      <c r="G439" s="47">
        <f t="shared" si="49"/>
        <v>9.0500000000000007</v>
      </c>
      <c r="H439" s="47">
        <v>74.900000000000006</v>
      </c>
      <c r="I439" s="16">
        <f t="shared" si="50"/>
        <v>8.2762430939226519</v>
      </c>
      <c r="J439" s="5">
        <f t="shared" si="51"/>
        <v>2</v>
      </c>
      <c r="K439" s="5">
        <v>1</v>
      </c>
      <c r="L439" s="5">
        <v>1</v>
      </c>
      <c r="M439" s="5">
        <v>0</v>
      </c>
      <c r="N439" s="48">
        <f t="shared" si="48"/>
        <v>74.900000000000006</v>
      </c>
      <c r="O439" s="48">
        <f t="shared" si="52"/>
        <v>74.900000000000006</v>
      </c>
      <c r="P439" s="48">
        <f t="shared" si="53"/>
        <v>149.80000000000001</v>
      </c>
      <c r="Q439" s="48">
        <f t="shared" si="54"/>
        <v>18.100000000000001</v>
      </c>
      <c r="R439" s="5" t="s">
        <v>682</v>
      </c>
      <c r="S439" s="5" t="s">
        <v>683</v>
      </c>
      <c r="V439" s="44">
        <f t="shared" si="55"/>
        <v>74.900000000000006</v>
      </c>
    </row>
    <row r="440" spans="1:22" x14ac:dyDescent="0.2">
      <c r="A440" s="53">
        <v>605818</v>
      </c>
      <c r="B440" s="1" t="s">
        <v>661</v>
      </c>
      <c r="C440" s="5" t="s">
        <v>49</v>
      </c>
      <c r="E440" s="47">
        <v>2.5</v>
      </c>
      <c r="F440" s="47">
        <v>6.55</v>
      </c>
      <c r="G440" s="47">
        <f t="shared" si="49"/>
        <v>9.0500000000000007</v>
      </c>
      <c r="H440" s="47">
        <v>74.900000000000006</v>
      </c>
      <c r="I440" s="16">
        <f t="shared" si="50"/>
        <v>8.2762430939226519</v>
      </c>
      <c r="J440" s="5">
        <f t="shared" si="51"/>
        <v>2</v>
      </c>
      <c r="K440" s="5">
        <v>0</v>
      </c>
      <c r="L440" s="5">
        <v>2</v>
      </c>
      <c r="M440" s="5">
        <v>0</v>
      </c>
      <c r="N440" s="48">
        <f t="shared" si="48"/>
        <v>149.80000000000001</v>
      </c>
      <c r="O440" s="48">
        <f t="shared" si="52"/>
        <v>0</v>
      </c>
      <c r="P440" s="48">
        <f t="shared" si="53"/>
        <v>149.80000000000001</v>
      </c>
      <c r="Q440" s="48">
        <f t="shared" si="54"/>
        <v>18.100000000000001</v>
      </c>
      <c r="R440" s="5" t="s">
        <v>682</v>
      </c>
      <c r="S440" s="5" t="s">
        <v>683</v>
      </c>
      <c r="V440" s="44">
        <f t="shared" si="55"/>
        <v>149.80000000000001</v>
      </c>
    </row>
    <row r="441" spans="1:22" x14ac:dyDescent="0.2">
      <c r="A441" s="53">
        <v>3615</v>
      </c>
      <c r="B441" s="1" t="s">
        <v>662</v>
      </c>
      <c r="C441" s="5" t="s">
        <v>49</v>
      </c>
      <c r="E441" s="47">
        <v>1.8</v>
      </c>
      <c r="F441" s="47">
        <v>34.76</v>
      </c>
      <c r="G441" s="47">
        <f t="shared" si="49"/>
        <v>36.559999999999995</v>
      </c>
      <c r="H441" s="47">
        <v>64.900000000000006</v>
      </c>
      <c r="I441" s="16">
        <f t="shared" si="50"/>
        <v>1.7751641137855583</v>
      </c>
      <c r="J441" s="5">
        <f t="shared" si="51"/>
        <v>2</v>
      </c>
      <c r="K441" s="5">
        <v>0</v>
      </c>
      <c r="L441" s="5">
        <v>2</v>
      </c>
      <c r="M441" s="5">
        <v>0</v>
      </c>
      <c r="N441" s="48">
        <f t="shared" si="48"/>
        <v>129.80000000000001</v>
      </c>
      <c r="O441" s="48">
        <f t="shared" si="52"/>
        <v>0</v>
      </c>
      <c r="P441" s="48">
        <f t="shared" si="53"/>
        <v>129.80000000000001</v>
      </c>
      <c r="Q441" s="48">
        <f t="shared" si="54"/>
        <v>73.11999999999999</v>
      </c>
      <c r="R441" s="5" t="s">
        <v>682</v>
      </c>
      <c r="S441" s="5" t="s">
        <v>683</v>
      </c>
      <c r="V441" s="44">
        <f t="shared" si="55"/>
        <v>129.80000000000001</v>
      </c>
    </row>
    <row r="442" spans="1:22" x14ac:dyDescent="0.2">
      <c r="A442" s="53">
        <v>632000</v>
      </c>
      <c r="B442" s="1" t="s">
        <v>663</v>
      </c>
      <c r="C442" s="5" t="s">
        <v>49</v>
      </c>
      <c r="E442" s="47">
        <v>4.5599999999999996</v>
      </c>
      <c r="F442" s="47">
        <v>6.25</v>
      </c>
      <c r="G442" s="47">
        <f t="shared" si="49"/>
        <v>10.809999999999999</v>
      </c>
      <c r="H442" s="47">
        <v>64.900000000000006</v>
      </c>
      <c r="I442" s="16">
        <f t="shared" si="50"/>
        <v>6.0037002775208155</v>
      </c>
      <c r="J442" s="5">
        <f t="shared" si="51"/>
        <v>2</v>
      </c>
      <c r="K442" s="5">
        <v>0</v>
      </c>
      <c r="L442" s="5">
        <v>2</v>
      </c>
      <c r="M442" s="5">
        <v>0</v>
      </c>
      <c r="N442" s="48">
        <f t="shared" si="48"/>
        <v>129.80000000000001</v>
      </c>
      <c r="O442" s="48">
        <f t="shared" si="52"/>
        <v>0</v>
      </c>
      <c r="P442" s="48">
        <f t="shared" si="53"/>
        <v>129.80000000000001</v>
      </c>
      <c r="Q442" s="48">
        <f t="shared" si="54"/>
        <v>21.619999999999997</v>
      </c>
      <c r="R442" s="5" t="s">
        <v>682</v>
      </c>
      <c r="S442" s="5" t="s">
        <v>683</v>
      </c>
      <c r="V442" s="44">
        <f t="shared" si="55"/>
        <v>129.80000000000001</v>
      </c>
    </row>
    <row r="443" spans="1:22" x14ac:dyDescent="0.2">
      <c r="A443" s="53">
        <v>903163</v>
      </c>
      <c r="B443" s="1" t="s">
        <v>664</v>
      </c>
      <c r="C443" s="5" t="s">
        <v>49</v>
      </c>
      <c r="E443" s="47">
        <v>2.99</v>
      </c>
      <c r="F443" s="47">
        <v>5.36</v>
      </c>
      <c r="G443" s="47">
        <f t="shared" si="49"/>
        <v>8.3500000000000014</v>
      </c>
      <c r="H443" s="47">
        <v>59.9</v>
      </c>
      <c r="I443" s="16">
        <f t="shared" si="50"/>
        <v>7.1736526946107775</v>
      </c>
      <c r="J443" s="5">
        <f t="shared" si="51"/>
        <v>1</v>
      </c>
      <c r="K443" s="5">
        <v>0</v>
      </c>
      <c r="L443" s="5">
        <v>1</v>
      </c>
      <c r="M443" s="5">
        <v>0</v>
      </c>
      <c r="N443" s="48">
        <f t="shared" si="48"/>
        <v>59.9</v>
      </c>
      <c r="O443" s="48">
        <f t="shared" si="52"/>
        <v>0</v>
      </c>
      <c r="P443" s="48">
        <f t="shared" si="53"/>
        <v>59.9</v>
      </c>
      <c r="Q443" s="48">
        <f t="shared" si="54"/>
        <v>8.3500000000000014</v>
      </c>
      <c r="R443" s="5" t="s">
        <v>682</v>
      </c>
      <c r="S443" s="5" t="s">
        <v>683</v>
      </c>
      <c r="V443" s="44">
        <f t="shared" si="55"/>
        <v>59.9</v>
      </c>
    </row>
    <row r="444" spans="1:22" x14ac:dyDescent="0.2">
      <c r="A444" s="53">
        <v>725876</v>
      </c>
      <c r="B444" s="1" t="s">
        <v>665</v>
      </c>
      <c r="C444" s="5" t="s">
        <v>49</v>
      </c>
      <c r="E444" s="47">
        <v>3.9</v>
      </c>
      <c r="F444" s="47">
        <v>5.96</v>
      </c>
      <c r="G444" s="47">
        <f t="shared" si="49"/>
        <v>9.86</v>
      </c>
      <c r="H444" s="47">
        <v>79.900000000000006</v>
      </c>
      <c r="I444" s="16">
        <f t="shared" si="50"/>
        <v>8.1034482758620694</v>
      </c>
      <c r="J444" s="5">
        <f t="shared" si="51"/>
        <v>2</v>
      </c>
      <c r="K444" s="5">
        <v>0</v>
      </c>
      <c r="L444" s="5">
        <v>2</v>
      </c>
      <c r="M444" s="5">
        <v>0</v>
      </c>
      <c r="N444" s="48">
        <f t="shared" si="48"/>
        <v>159.80000000000001</v>
      </c>
      <c r="O444" s="48">
        <f t="shared" si="52"/>
        <v>0</v>
      </c>
      <c r="P444" s="48">
        <f t="shared" si="53"/>
        <v>159.80000000000001</v>
      </c>
      <c r="Q444" s="48">
        <f t="shared" si="54"/>
        <v>19.72</v>
      </c>
      <c r="R444" s="5" t="s">
        <v>682</v>
      </c>
      <c r="S444" s="5" t="s">
        <v>683</v>
      </c>
      <c r="V444" s="44">
        <f t="shared" si="55"/>
        <v>159.80000000000001</v>
      </c>
    </row>
    <row r="445" spans="1:22" x14ac:dyDescent="0.2">
      <c r="A445" s="53">
        <v>208135</v>
      </c>
      <c r="B445" s="1" t="s">
        <v>666</v>
      </c>
      <c r="C445" s="5" t="s">
        <v>49</v>
      </c>
      <c r="E445" s="47">
        <v>2.1</v>
      </c>
      <c r="F445" s="47">
        <v>11.61</v>
      </c>
      <c r="G445" s="47">
        <f t="shared" si="49"/>
        <v>13.709999999999999</v>
      </c>
      <c r="H445" s="47">
        <v>79.900000000000006</v>
      </c>
      <c r="I445" s="16">
        <f t="shared" si="50"/>
        <v>5.8278628738147349</v>
      </c>
      <c r="J445" s="5">
        <f t="shared" si="51"/>
        <v>1</v>
      </c>
      <c r="K445" s="5">
        <v>0</v>
      </c>
      <c r="L445" s="5">
        <v>1</v>
      </c>
      <c r="M445" s="5">
        <v>0</v>
      </c>
      <c r="N445" s="48">
        <f t="shared" si="48"/>
        <v>79.900000000000006</v>
      </c>
      <c r="O445" s="48">
        <f t="shared" si="52"/>
        <v>0</v>
      </c>
      <c r="P445" s="48">
        <f t="shared" si="53"/>
        <v>79.900000000000006</v>
      </c>
      <c r="Q445" s="48">
        <f t="shared" si="54"/>
        <v>13.709999999999999</v>
      </c>
      <c r="R445" s="5" t="s">
        <v>682</v>
      </c>
      <c r="S445" s="5" t="s">
        <v>683</v>
      </c>
      <c r="V445" s="44">
        <f t="shared" si="55"/>
        <v>79.900000000000006</v>
      </c>
    </row>
    <row r="446" spans="1:22" x14ac:dyDescent="0.2">
      <c r="A446" s="53">
        <v>883354</v>
      </c>
      <c r="B446" s="1" t="s">
        <v>667</v>
      </c>
      <c r="C446" s="5" t="s">
        <v>49</v>
      </c>
      <c r="E446" s="47">
        <v>3.86</v>
      </c>
      <c r="F446" s="47">
        <v>3.28</v>
      </c>
      <c r="G446" s="47">
        <f t="shared" si="49"/>
        <v>7.14</v>
      </c>
      <c r="H446" s="47">
        <v>49.9</v>
      </c>
      <c r="I446" s="16">
        <f t="shared" si="50"/>
        <v>6.988795518207283</v>
      </c>
      <c r="J446" s="5">
        <f t="shared" si="51"/>
        <v>2</v>
      </c>
      <c r="K446" s="5">
        <v>0</v>
      </c>
      <c r="L446" s="5">
        <v>2</v>
      </c>
      <c r="M446" s="5">
        <v>0</v>
      </c>
      <c r="N446" s="48">
        <f t="shared" si="48"/>
        <v>99.8</v>
      </c>
      <c r="O446" s="48">
        <f t="shared" si="52"/>
        <v>0</v>
      </c>
      <c r="P446" s="48">
        <f t="shared" si="53"/>
        <v>99.8</v>
      </c>
      <c r="Q446" s="48">
        <f t="shared" si="54"/>
        <v>14.28</v>
      </c>
      <c r="R446" s="5" t="s">
        <v>682</v>
      </c>
      <c r="S446" s="5" t="s">
        <v>683</v>
      </c>
      <c r="V446" s="44">
        <f t="shared" si="55"/>
        <v>99.8</v>
      </c>
    </row>
    <row r="447" spans="1:22" x14ac:dyDescent="0.2">
      <c r="A447" s="53">
        <v>40192</v>
      </c>
      <c r="B447" s="1" t="s">
        <v>668</v>
      </c>
      <c r="C447" s="5" t="s">
        <v>49</v>
      </c>
      <c r="E447" s="47">
        <v>4.42</v>
      </c>
      <c r="F447" s="47">
        <v>4.76</v>
      </c>
      <c r="G447" s="47">
        <f t="shared" si="49"/>
        <v>9.18</v>
      </c>
      <c r="H447" s="47">
        <v>64.900000000000006</v>
      </c>
      <c r="I447" s="16">
        <f t="shared" si="50"/>
        <v>7.0697167755991295</v>
      </c>
      <c r="J447" s="5">
        <f t="shared" si="51"/>
        <v>2</v>
      </c>
      <c r="K447" s="5">
        <v>0</v>
      </c>
      <c r="L447" s="5">
        <v>2</v>
      </c>
      <c r="M447" s="5">
        <v>0</v>
      </c>
      <c r="N447" s="48">
        <f t="shared" si="48"/>
        <v>129.80000000000001</v>
      </c>
      <c r="O447" s="48">
        <f t="shared" si="52"/>
        <v>0</v>
      </c>
      <c r="P447" s="48">
        <f t="shared" si="53"/>
        <v>129.80000000000001</v>
      </c>
      <c r="Q447" s="48">
        <f t="shared" si="54"/>
        <v>18.36</v>
      </c>
      <c r="R447" s="5" t="s">
        <v>682</v>
      </c>
      <c r="S447" s="5" t="s">
        <v>683</v>
      </c>
      <c r="V447" s="44">
        <f t="shared" si="55"/>
        <v>129.80000000000001</v>
      </c>
    </row>
    <row r="448" spans="1:22" x14ac:dyDescent="0.2">
      <c r="A448" s="53">
        <v>315285</v>
      </c>
      <c r="B448" s="1" t="s">
        <v>669</v>
      </c>
      <c r="C448" s="5" t="s">
        <v>49</v>
      </c>
      <c r="E448" s="47">
        <v>4.46</v>
      </c>
      <c r="F448" s="47">
        <v>5.36</v>
      </c>
      <c r="G448" s="47">
        <f t="shared" si="49"/>
        <v>9.82</v>
      </c>
      <c r="H448" s="47">
        <v>62.9</v>
      </c>
      <c r="I448" s="16">
        <f t="shared" si="50"/>
        <v>6.4052953156822809</v>
      </c>
      <c r="J448" s="5">
        <f t="shared" si="51"/>
        <v>2</v>
      </c>
      <c r="K448" s="5">
        <v>0</v>
      </c>
      <c r="L448" s="5">
        <v>2</v>
      </c>
      <c r="M448" s="5">
        <v>0</v>
      </c>
      <c r="N448" s="48">
        <f t="shared" si="48"/>
        <v>125.8</v>
      </c>
      <c r="O448" s="48">
        <f t="shared" si="52"/>
        <v>0</v>
      </c>
      <c r="P448" s="48">
        <f t="shared" si="53"/>
        <v>125.8</v>
      </c>
      <c r="Q448" s="48">
        <f t="shared" si="54"/>
        <v>19.64</v>
      </c>
      <c r="R448" s="5" t="s">
        <v>682</v>
      </c>
      <c r="S448" s="5" t="s">
        <v>683</v>
      </c>
      <c r="V448" s="44">
        <f t="shared" si="55"/>
        <v>125.8</v>
      </c>
    </row>
    <row r="449" spans="1:22" x14ac:dyDescent="0.2">
      <c r="A449" s="53">
        <v>902831</v>
      </c>
      <c r="B449" s="1" t="s">
        <v>670</v>
      </c>
      <c r="C449" s="5" t="s">
        <v>49</v>
      </c>
      <c r="E449" s="47">
        <v>4.13</v>
      </c>
      <c r="F449" s="47">
        <v>2.68</v>
      </c>
      <c r="G449" s="47">
        <f t="shared" si="49"/>
        <v>6.8100000000000005</v>
      </c>
      <c r="H449" s="47">
        <v>52.9</v>
      </c>
      <c r="I449" s="16">
        <f t="shared" si="50"/>
        <v>7.7679882525697499</v>
      </c>
      <c r="J449" s="5">
        <f t="shared" si="51"/>
        <v>2</v>
      </c>
      <c r="K449" s="5">
        <v>0</v>
      </c>
      <c r="L449" s="5">
        <v>2</v>
      </c>
      <c r="M449" s="5">
        <v>0</v>
      </c>
      <c r="N449" s="48">
        <f t="shared" si="48"/>
        <v>105.8</v>
      </c>
      <c r="O449" s="48">
        <f t="shared" si="52"/>
        <v>0</v>
      </c>
      <c r="P449" s="48">
        <f t="shared" si="53"/>
        <v>105.8</v>
      </c>
      <c r="Q449" s="48">
        <f t="shared" si="54"/>
        <v>13.620000000000001</v>
      </c>
      <c r="R449" s="5" t="s">
        <v>682</v>
      </c>
      <c r="S449" s="5" t="s">
        <v>683</v>
      </c>
      <c r="V449" s="44">
        <f t="shared" si="55"/>
        <v>105.8</v>
      </c>
    </row>
    <row r="450" spans="1:22" x14ac:dyDescent="0.2">
      <c r="A450" s="53">
        <v>305451</v>
      </c>
      <c r="B450" s="1" t="s">
        <v>671</v>
      </c>
      <c r="C450" s="5" t="s">
        <v>49</v>
      </c>
      <c r="E450" s="47">
        <v>2.99</v>
      </c>
      <c r="F450" s="47">
        <v>5.0599999999999996</v>
      </c>
      <c r="G450" s="47">
        <f t="shared" si="49"/>
        <v>8.0500000000000007</v>
      </c>
      <c r="H450" s="47">
        <v>79.900000000000006</v>
      </c>
      <c r="I450" s="16">
        <f t="shared" si="50"/>
        <v>9.9254658385093162</v>
      </c>
      <c r="J450" s="5">
        <f t="shared" si="51"/>
        <v>2</v>
      </c>
      <c r="K450" s="5">
        <v>0</v>
      </c>
      <c r="L450" s="5">
        <v>2</v>
      </c>
      <c r="M450" s="5">
        <v>0</v>
      </c>
      <c r="N450" s="48">
        <f t="shared" ref="N450:N507" si="56">L450*H450</f>
        <v>159.80000000000001</v>
      </c>
      <c r="O450" s="48">
        <f t="shared" si="52"/>
        <v>0</v>
      </c>
      <c r="P450" s="48">
        <f t="shared" si="53"/>
        <v>159.80000000000001</v>
      </c>
      <c r="Q450" s="48">
        <f t="shared" si="54"/>
        <v>16.100000000000001</v>
      </c>
      <c r="R450" s="5" t="s">
        <v>682</v>
      </c>
      <c r="S450" s="5" t="s">
        <v>683</v>
      </c>
      <c r="V450" s="44">
        <f t="shared" si="55"/>
        <v>159.80000000000001</v>
      </c>
    </row>
    <row r="451" spans="1:22" x14ac:dyDescent="0.2">
      <c r="A451" s="53">
        <v>61550</v>
      </c>
      <c r="B451" s="1" t="s">
        <v>672</v>
      </c>
      <c r="C451" s="5" t="s">
        <v>360</v>
      </c>
      <c r="E451" s="47">
        <v>4.9000000000000004</v>
      </c>
      <c r="F451" s="47">
        <v>11.61</v>
      </c>
      <c r="G451" s="47">
        <f t="shared" ref="G451:G507" si="57">SUM(E451:F451)</f>
        <v>16.509999999999998</v>
      </c>
      <c r="H451" s="47">
        <v>129.9</v>
      </c>
      <c r="I451" s="16">
        <f t="shared" ref="I451:I507" si="58">IFERROR(H451/G451*100%,"SEM INFORMAÇÃO DE CUSTOS")</f>
        <v>7.8679588128407039</v>
      </c>
      <c r="J451" s="5">
        <f t="shared" ref="J451:J507" si="59">K451+L451</f>
        <v>2</v>
      </c>
      <c r="K451" s="5">
        <v>0</v>
      </c>
      <c r="L451" s="5">
        <v>2</v>
      </c>
      <c r="M451" s="5">
        <v>0</v>
      </c>
      <c r="N451" s="48">
        <f t="shared" si="56"/>
        <v>259.8</v>
      </c>
      <c r="O451" s="48">
        <f t="shared" ref="O451:O507" si="60">K451*H451</f>
        <v>0</v>
      </c>
      <c r="P451" s="48">
        <f t="shared" ref="P451:P507" si="61">O451+N451</f>
        <v>259.8</v>
      </c>
      <c r="Q451" s="48">
        <f t="shared" ref="Q451:Q507" si="62">J451*G451</f>
        <v>33.019999999999996</v>
      </c>
      <c r="R451" s="5" t="s">
        <v>682</v>
      </c>
      <c r="S451" s="5" t="s">
        <v>683</v>
      </c>
      <c r="V451" s="44">
        <f t="shared" ref="V451:V507" si="63">L451*H451</f>
        <v>259.8</v>
      </c>
    </row>
    <row r="452" spans="1:22" x14ac:dyDescent="0.2">
      <c r="A452" s="53">
        <v>952898</v>
      </c>
      <c r="B452" s="1" t="s">
        <v>673</v>
      </c>
      <c r="C452" s="5" t="s">
        <v>360</v>
      </c>
      <c r="E452" s="47">
        <v>4.9000000000000004</v>
      </c>
      <c r="F452" s="47">
        <v>11.61</v>
      </c>
      <c r="G452" s="47">
        <f t="shared" si="57"/>
        <v>16.509999999999998</v>
      </c>
      <c r="H452" s="47">
        <v>129.9</v>
      </c>
      <c r="I452" s="16">
        <f t="shared" si="58"/>
        <v>7.8679588128407039</v>
      </c>
      <c r="J452" s="5">
        <f t="shared" si="59"/>
        <v>2</v>
      </c>
      <c r="K452" s="5">
        <v>0</v>
      </c>
      <c r="L452" s="5">
        <v>2</v>
      </c>
      <c r="M452" s="5">
        <v>0</v>
      </c>
      <c r="N452" s="48">
        <f t="shared" si="56"/>
        <v>259.8</v>
      </c>
      <c r="O452" s="48">
        <f t="shared" si="60"/>
        <v>0</v>
      </c>
      <c r="P452" s="48">
        <f t="shared" si="61"/>
        <v>259.8</v>
      </c>
      <c r="Q452" s="48">
        <f t="shared" si="62"/>
        <v>33.019999999999996</v>
      </c>
      <c r="R452" s="5" t="s">
        <v>682</v>
      </c>
      <c r="S452" s="5" t="s">
        <v>683</v>
      </c>
      <c r="V452" s="44">
        <f t="shared" si="63"/>
        <v>259.8</v>
      </c>
    </row>
    <row r="453" spans="1:22" x14ac:dyDescent="0.2">
      <c r="A453" s="53">
        <v>208311</v>
      </c>
      <c r="B453" s="1" t="s">
        <v>674</v>
      </c>
      <c r="C453" s="5" t="s">
        <v>360</v>
      </c>
      <c r="E453" s="47">
        <v>3.5</v>
      </c>
      <c r="F453" s="47">
        <v>7.47</v>
      </c>
      <c r="G453" s="47">
        <f t="shared" si="57"/>
        <v>10.969999999999999</v>
      </c>
      <c r="H453" s="47">
        <v>89.9</v>
      </c>
      <c r="I453" s="16">
        <f t="shared" si="58"/>
        <v>8.1950774840474025</v>
      </c>
      <c r="J453" s="5">
        <f t="shared" si="59"/>
        <v>2</v>
      </c>
      <c r="K453" s="5">
        <v>0</v>
      </c>
      <c r="L453" s="5">
        <v>2</v>
      </c>
      <c r="M453" s="5">
        <v>0</v>
      </c>
      <c r="N453" s="48">
        <f t="shared" si="56"/>
        <v>179.8</v>
      </c>
      <c r="O453" s="48">
        <f t="shared" si="60"/>
        <v>0</v>
      </c>
      <c r="P453" s="48">
        <f t="shared" si="61"/>
        <v>179.8</v>
      </c>
      <c r="Q453" s="48">
        <f t="shared" si="62"/>
        <v>21.939999999999998</v>
      </c>
      <c r="R453" s="5" t="s">
        <v>682</v>
      </c>
      <c r="S453" s="5" t="s">
        <v>683</v>
      </c>
      <c r="V453" s="44">
        <f t="shared" si="63"/>
        <v>179.8</v>
      </c>
    </row>
    <row r="454" spans="1:22" x14ac:dyDescent="0.2">
      <c r="A454" s="53">
        <v>527046</v>
      </c>
      <c r="B454" s="1" t="s">
        <v>369</v>
      </c>
      <c r="C454" s="5" t="s">
        <v>360</v>
      </c>
      <c r="E454" s="47">
        <v>2.8</v>
      </c>
      <c r="F454" s="47">
        <v>7.05</v>
      </c>
      <c r="G454" s="47">
        <f t="shared" si="57"/>
        <v>9.85</v>
      </c>
      <c r="H454" s="47">
        <v>74.900000000000006</v>
      </c>
      <c r="I454" s="16">
        <f t="shared" si="58"/>
        <v>7.6040609137055846</v>
      </c>
      <c r="J454" s="5">
        <f t="shared" si="59"/>
        <v>2</v>
      </c>
      <c r="K454" s="5">
        <v>0</v>
      </c>
      <c r="L454" s="5">
        <v>2</v>
      </c>
      <c r="M454" s="5">
        <v>0</v>
      </c>
      <c r="N454" s="48">
        <f t="shared" si="56"/>
        <v>149.80000000000001</v>
      </c>
      <c r="O454" s="48">
        <f t="shared" si="60"/>
        <v>0</v>
      </c>
      <c r="P454" s="48">
        <f t="shared" si="61"/>
        <v>149.80000000000001</v>
      </c>
      <c r="Q454" s="48">
        <f t="shared" si="62"/>
        <v>19.7</v>
      </c>
      <c r="R454" s="5" t="s">
        <v>682</v>
      </c>
      <c r="S454" s="5" t="s">
        <v>683</v>
      </c>
      <c r="V454" s="44">
        <f t="shared" si="63"/>
        <v>149.80000000000001</v>
      </c>
    </row>
    <row r="455" spans="1:22" x14ac:dyDescent="0.2">
      <c r="A455" s="53">
        <v>278424</v>
      </c>
      <c r="B455" s="1" t="s">
        <v>675</v>
      </c>
      <c r="C455" s="5" t="s">
        <v>360</v>
      </c>
      <c r="E455" s="47">
        <v>2.6</v>
      </c>
      <c r="F455" s="47">
        <v>9.58</v>
      </c>
      <c r="G455" s="47">
        <f t="shared" si="57"/>
        <v>12.18</v>
      </c>
      <c r="H455" s="47">
        <v>84.9</v>
      </c>
      <c r="I455" s="16">
        <f t="shared" si="58"/>
        <v>6.9704433497536948</v>
      </c>
      <c r="J455" s="5">
        <f t="shared" si="59"/>
        <v>2</v>
      </c>
      <c r="K455" s="5">
        <v>0</v>
      </c>
      <c r="L455" s="5">
        <v>2</v>
      </c>
      <c r="M455" s="5">
        <v>0</v>
      </c>
      <c r="N455" s="48">
        <f t="shared" si="56"/>
        <v>169.8</v>
      </c>
      <c r="O455" s="48">
        <f t="shared" si="60"/>
        <v>0</v>
      </c>
      <c r="P455" s="48">
        <f t="shared" si="61"/>
        <v>169.8</v>
      </c>
      <c r="Q455" s="48">
        <f t="shared" si="62"/>
        <v>24.36</v>
      </c>
      <c r="R455" s="5" t="s">
        <v>682</v>
      </c>
      <c r="S455" s="5" t="s">
        <v>683</v>
      </c>
      <c r="V455" s="44">
        <f t="shared" si="63"/>
        <v>169.8</v>
      </c>
    </row>
    <row r="456" spans="1:22" x14ac:dyDescent="0.2">
      <c r="A456" s="53">
        <v>225154</v>
      </c>
      <c r="B456" s="1" t="s">
        <v>369</v>
      </c>
      <c r="C456" s="5" t="s">
        <v>360</v>
      </c>
      <c r="E456" s="47">
        <v>3.29</v>
      </c>
      <c r="F456" s="47">
        <v>9.9499999999999993</v>
      </c>
      <c r="G456" s="47">
        <f t="shared" si="57"/>
        <v>13.239999999999998</v>
      </c>
      <c r="H456" s="47">
        <v>79.900000000000006</v>
      </c>
      <c r="I456" s="16">
        <f t="shared" si="58"/>
        <v>6.0347432024169194</v>
      </c>
      <c r="J456" s="5">
        <f t="shared" si="59"/>
        <v>1</v>
      </c>
      <c r="K456" s="5">
        <v>0</v>
      </c>
      <c r="L456" s="5">
        <v>1</v>
      </c>
      <c r="M456" s="5">
        <v>0</v>
      </c>
      <c r="N456" s="48">
        <f t="shared" si="56"/>
        <v>79.900000000000006</v>
      </c>
      <c r="O456" s="48">
        <f t="shared" si="60"/>
        <v>0</v>
      </c>
      <c r="P456" s="48">
        <f t="shared" si="61"/>
        <v>79.900000000000006</v>
      </c>
      <c r="Q456" s="48">
        <f t="shared" si="62"/>
        <v>13.239999999999998</v>
      </c>
      <c r="R456" s="5" t="s">
        <v>682</v>
      </c>
      <c r="S456" s="5" t="s">
        <v>683</v>
      </c>
      <c r="V456" s="44">
        <f t="shared" si="63"/>
        <v>79.900000000000006</v>
      </c>
    </row>
    <row r="457" spans="1:22" x14ac:dyDescent="0.2">
      <c r="A457" s="53">
        <v>104857</v>
      </c>
      <c r="B457" s="1" t="s">
        <v>676</v>
      </c>
      <c r="C457" s="5" t="s">
        <v>49</v>
      </c>
      <c r="E457" s="47">
        <v>3.54</v>
      </c>
      <c r="F457" s="47">
        <v>17.260000000000002</v>
      </c>
      <c r="G457" s="47">
        <f t="shared" si="57"/>
        <v>20.8</v>
      </c>
      <c r="H457" s="47">
        <v>159.9</v>
      </c>
      <c r="I457" s="16">
        <f t="shared" si="58"/>
        <v>7.6875</v>
      </c>
      <c r="J457" s="5">
        <f t="shared" si="59"/>
        <v>1</v>
      </c>
      <c r="K457" s="5">
        <v>0</v>
      </c>
      <c r="L457" s="5">
        <v>1</v>
      </c>
      <c r="M457" s="5">
        <v>0</v>
      </c>
      <c r="N457" s="48">
        <f t="shared" si="56"/>
        <v>159.9</v>
      </c>
      <c r="O457" s="48">
        <f t="shared" si="60"/>
        <v>0</v>
      </c>
      <c r="P457" s="48">
        <f t="shared" si="61"/>
        <v>159.9</v>
      </c>
      <c r="Q457" s="48">
        <f t="shared" si="62"/>
        <v>20.8</v>
      </c>
      <c r="R457" s="5" t="s">
        <v>682</v>
      </c>
      <c r="S457" s="5" t="s">
        <v>683</v>
      </c>
      <c r="V457" s="44">
        <f t="shared" si="63"/>
        <v>159.9</v>
      </c>
    </row>
    <row r="458" spans="1:22" x14ac:dyDescent="0.2">
      <c r="A458" s="53">
        <v>767113</v>
      </c>
      <c r="B458" s="1" t="s">
        <v>677</v>
      </c>
      <c r="C458" s="5" t="s">
        <v>49</v>
      </c>
      <c r="E458" s="47">
        <v>3.84</v>
      </c>
      <c r="F458" s="47">
        <v>23.2</v>
      </c>
      <c r="G458" s="47">
        <f t="shared" si="57"/>
        <v>27.04</v>
      </c>
      <c r="H458" s="47">
        <v>189.9</v>
      </c>
      <c r="I458" s="16">
        <f t="shared" si="58"/>
        <v>7.0229289940828403</v>
      </c>
      <c r="J458" s="5">
        <f t="shared" si="59"/>
        <v>2</v>
      </c>
      <c r="K458" s="5">
        <v>1</v>
      </c>
      <c r="L458" s="5">
        <v>1</v>
      </c>
      <c r="M458" s="5">
        <v>0</v>
      </c>
      <c r="N458" s="48">
        <f t="shared" si="56"/>
        <v>189.9</v>
      </c>
      <c r="O458" s="48">
        <f t="shared" si="60"/>
        <v>189.9</v>
      </c>
      <c r="P458" s="48">
        <f t="shared" si="61"/>
        <v>379.8</v>
      </c>
      <c r="Q458" s="48">
        <f t="shared" si="62"/>
        <v>54.08</v>
      </c>
      <c r="R458" s="5" t="s">
        <v>682</v>
      </c>
      <c r="S458" s="5" t="s">
        <v>683</v>
      </c>
      <c r="V458" s="44">
        <f t="shared" si="63"/>
        <v>189.9</v>
      </c>
    </row>
    <row r="459" spans="1:22" x14ac:dyDescent="0.2">
      <c r="A459" s="53">
        <v>391141</v>
      </c>
      <c r="B459" s="1" t="s">
        <v>678</v>
      </c>
      <c r="C459" s="5" t="s">
        <v>49</v>
      </c>
      <c r="E459" s="47">
        <v>3.34</v>
      </c>
      <c r="F459" s="47">
        <v>10.42</v>
      </c>
      <c r="G459" s="47">
        <f t="shared" si="57"/>
        <v>13.76</v>
      </c>
      <c r="H459" s="47">
        <v>129.9</v>
      </c>
      <c r="I459" s="16">
        <f t="shared" si="58"/>
        <v>9.4404069767441872</v>
      </c>
      <c r="J459" s="5">
        <f t="shared" si="59"/>
        <v>1</v>
      </c>
      <c r="K459" s="5">
        <v>0</v>
      </c>
      <c r="L459" s="5">
        <v>1</v>
      </c>
      <c r="M459" s="5">
        <v>0</v>
      </c>
      <c r="N459" s="48">
        <f t="shared" si="56"/>
        <v>129.9</v>
      </c>
      <c r="O459" s="48">
        <f t="shared" si="60"/>
        <v>0</v>
      </c>
      <c r="P459" s="48">
        <f t="shared" si="61"/>
        <v>129.9</v>
      </c>
      <c r="Q459" s="48">
        <f t="shared" si="62"/>
        <v>13.76</v>
      </c>
      <c r="R459" s="5" t="s">
        <v>682</v>
      </c>
      <c r="S459" s="5" t="s">
        <v>683</v>
      </c>
      <c r="V459" s="44">
        <f t="shared" si="63"/>
        <v>129.9</v>
      </c>
    </row>
    <row r="460" spans="1:22" x14ac:dyDescent="0.2">
      <c r="A460" s="53">
        <v>267150</v>
      </c>
      <c r="B460" s="1" t="s">
        <v>679</v>
      </c>
      <c r="C460" s="5" t="s">
        <v>49</v>
      </c>
      <c r="E460" s="47">
        <v>3.34</v>
      </c>
      <c r="F460" s="47">
        <v>10.42</v>
      </c>
      <c r="G460" s="47">
        <f t="shared" si="57"/>
        <v>13.76</v>
      </c>
      <c r="H460" s="47">
        <v>96.9</v>
      </c>
      <c r="I460" s="16">
        <f t="shared" si="58"/>
        <v>7.0421511627906979</v>
      </c>
      <c r="J460" s="5">
        <f t="shared" si="59"/>
        <v>1</v>
      </c>
      <c r="K460" s="5">
        <v>0</v>
      </c>
      <c r="L460" s="5">
        <v>1</v>
      </c>
      <c r="M460" s="5">
        <v>0</v>
      </c>
      <c r="N460" s="48">
        <f t="shared" si="56"/>
        <v>96.9</v>
      </c>
      <c r="O460" s="48">
        <f t="shared" si="60"/>
        <v>0</v>
      </c>
      <c r="P460" s="48">
        <f t="shared" si="61"/>
        <v>96.9</v>
      </c>
      <c r="Q460" s="48">
        <f t="shared" si="62"/>
        <v>13.76</v>
      </c>
      <c r="R460" s="5" t="s">
        <v>682</v>
      </c>
      <c r="S460" s="5" t="s">
        <v>683</v>
      </c>
      <c r="V460" s="44">
        <f t="shared" si="63"/>
        <v>96.9</v>
      </c>
    </row>
    <row r="461" spans="1:22" x14ac:dyDescent="0.2">
      <c r="A461" s="53" t="s">
        <v>680</v>
      </c>
      <c r="B461" s="1" t="s">
        <v>681</v>
      </c>
      <c r="C461" s="5" t="s">
        <v>49</v>
      </c>
      <c r="G461" s="47">
        <f t="shared" si="57"/>
        <v>0</v>
      </c>
      <c r="H461" s="47">
        <v>39.9</v>
      </c>
      <c r="I461" s="16" t="str">
        <f t="shared" si="58"/>
        <v>SEM INFORMAÇÃO DE CUSTOS</v>
      </c>
      <c r="J461" s="5">
        <f t="shared" si="59"/>
        <v>0</v>
      </c>
      <c r="K461" s="5">
        <v>0</v>
      </c>
      <c r="L461" s="5">
        <v>0</v>
      </c>
      <c r="M461" s="5">
        <v>0</v>
      </c>
      <c r="N461" s="48">
        <f t="shared" si="56"/>
        <v>0</v>
      </c>
      <c r="O461" s="48">
        <f t="shared" si="60"/>
        <v>0</v>
      </c>
      <c r="P461" s="48">
        <f t="shared" si="61"/>
        <v>0</v>
      </c>
      <c r="Q461" s="48">
        <f t="shared" si="62"/>
        <v>0</v>
      </c>
      <c r="R461" s="5" t="s">
        <v>682</v>
      </c>
      <c r="S461" s="5" t="s">
        <v>683</v>
      </c>
      <c r="V461" s="44">
        <f t="shared" si="63"/>
        <v>0</v>
      </c>
    </row>
    <row r="462" spans="1:22" x14ac:dyDescent="0.2">
      <c r="A462" s="53">
        <v>382910</v>
      </c>
      <c r="B462" s="1" t="s">
        <v>699</v>
      </c>
      <c r="C462" s="5" t="s">
        <v>201</v>
      </c>
      <c r="E462" s="47">
        <v>1.7</v>
      </c>
      <c r="F462" s="47">
        <v>6.87</v>
      </c>
      <c r="G462" s="47">
        <f t="shared" si="57"/>
        <v>8.57</v>
      </c>
      <c r="H462" s="47">
        <v>119</v>
      </c>
      <c r="I462" s="16">
        <f t="shared" si="58"/>
        <v>13.885647607934656</v>
      </c>
      <c r="J462" s="5">
        <f t="shared" si="59"/>
        <v>5</v>
      </c>
      <c r="K462" s="5">
        <v>0</v>
      </c>
      <c r="L462" s="5">
        <v>5</v>
      </c>
      <c r="M462" s="5">
        <v>0</v>
      </c>
      <c r="N462" s="48">
        <f t="shared" si="56"/>
        <v>595</v>
      </c>
      <c r="O462" s="48">
        <f t="shared" si="60"/>
        <v>0</v>
      </c>
      <c r="P462" s="48">
        <f t="shared" si="61"/>
        <v>595</v>
      </c>
      <c r="Q462" s="48">
        <f t="shared" si="62"/>
        <v>42.85</v>
      </c>
      <c r="R462" s="5" t="s">
        <v>682</v>
      </c>
      <c r="S462" s="5" t="s">
        <v>683</v>
      </c>
      <c r="V462" s="44">
        <f t="shared" si="63"/>
        <v>595</v>
      </c>
    </row>
    <row r="463" spans="1:22" x14ac:dyDescent="0.2">
      <c r="A463" s="53">
        <v>741053</v>
      </c>
      <c r="B463" s="1" t="s">
        <v>700</v>
      </c>
      <c r="C463" s="5" t="s">
        <v>201</v>
      </c>
      <c r="E463" s="47">
        <v>1.7</v>
      </c>
      <c r="F463" s="47">
        <v>7.5</v>
      </c>
      <c r="G463" s="47">
        <f t="shared" si="57"/>
        <v>9.1999999999999993</v>
      </c>
      <c r="H463" s="47">
        <v>99.9</v>
      </c>
      <c r="I463" s="16">
        <f t="shared" si="58"/>
        <v>10.858695652173914</v>
      </c>
      <c r="J463" s="5">
        <f t="shared" si="59"/>
        <v>5</v>
      </c>
      <c r="K463" s="5">
        <v>0</v>
      </c>
      <c r="L463" s="5">
        <v>5</v>
      </c>
      <c r="M463" s="5">
        <v>0</v>
      </c>
      <c r="N463" s="48">
        <f t="shared" si="56"/>
        <v>499.5</v>
      </c>
      <c r="O463" s="48">
        <f t="shared" si="60"/>
        <v>0</v>
      </c>
      <c r="P463" s="48">
        <f t="shared" si="61"/>
        <v>499.5</v>
      </c>
      <c r="Q463" s="48">
        <f t="shared" si="62"/>
        <v>46</v>
      </c>
      <c r="R463" s="5" t="s">
        <v>682</v>
      </c>
      <c r="S463" s="5" t="s">
        <v>683</v>
      </c>
      <c r="V463" s="44">
        <f t="shared" si="63"/>
        <v>499.5</v>
      </c>
    </row>
    <row r="464" spans="1:22" x14ac:dyDescent="0.2">
      <c r="A464" s="53">
        <v>928476</v>
      </c>
      <c r="B464" s="1" t="s">
        <v>701</v>
      </c>
      <c r="C464" s="5" t="s">
        <v>201</v>
      </c>
      <c r="E464" s="47">
        <v>1.7</v>
      </c>
      <c r="F464" s="47">
        <v>11.8</v>
      </c>
      <c r="G464" s="47">
        <f t="shared" si="57"/>
        <v>13.5</v>
      </c>
      <c r="H464" s="47">
        <v>134.9</v>
      </c>
      <c r="I464" s="16">
        <f t="shared" si="58"/>
        <v>9.9925925925925938</v>
      </c>
      <c r="J464" s="5">
        <f t="shared" si="59"/>
        <v>5</v>
      </c>
      <c r="K464" s="5">
        <v>0</v>
      </c>
      <c r="L464" s="5">
        <v>5</v>
      </c>
      <c r="M464" s="5">
        <v>0</v>
      </c>
      <c r="N464" s="48">
        <f t="shared" si="56"/>
        <v>674.5</v>
      </c>
      <c r="O464" s="48">
        <f t="shared" si="60"/>
        <v>0</v>
      </c>
      <c r="P464" s="48">
        <f t="shared" si="61"/>
        <v>674.5</v>
      </c>
      <c r="Q464" s="48">
        <f t="shared" si="62"/>
        <v>67.5</v>
      </c>
      <c r="R464" s="5" t="s">
        <v>682</v>
      </c>
      <c r="S464" s="5" t="s">
        <v>683</v>
      </c>
      <c r="V464" s="44">
        <f t="shared" si="63"/>
        <v>674.5</v>
      </c>
    </row>
    <row r="465" spans="1:22" x14ac:dyDescent="0.2">
      <c r="A465" s="53">
        <v>105837</v>
      </c>
      <c r="B465" s="1" t="s">
        <v>702</v>
      </c>
      <c r="C465" s="5" t="s">
        <v>201</v>
      </c>
      <c r="E465" s="47">
        <v>1.7</v>
      </c>
      <c r="F465" s="47">
        <v>5.46</v>
      </c>
      <c r="G465" s="47">
        <f t="shared" si="57"/>
        <v>7.16</v>
      </c>
      <c r="H465" s="47">
        <v>74.900000000000006</v>
      </c>
      <c r="I465" s="16">
        <f t="shared" si="58"/>
        <v>10.460893854748605</v>
      </c>
      <c r="J465" s="5">
        <f t="shared" si="59"/>
        <v>5</v>
      </c>
      <c r="K465" s="5">
        <v>0</v>
      </c>
      <c r="L465" s="5">
        <v>5</v>
      </c>
      <c r="M465" s="5">
        <v>0</v>
      </c>
      <c r="N465" s="48">
        <f t="shared" si="56"/>
        <v>374.5</v>
      </c>
      <c r="O465" s="48">
        <f t="shared" si="60"/>
        <v>0</v>
      </c>
      <c r="P465" s="48">
        <f t="shared" si="61"/>
        <v>374.5</v>
      </c>
      <c r="Q465" s="48">
        <f t="shared" si="62"/>
        <v>35.799999999999997</v>
      </c>
      <c r="R465" s="5" t="s">
        <v>682</v>
      </c>
      <c r="S465" s="5" t="s">
        <v>683</v>
      </c>
      <c r="V465" s="44">
        <f t="shared" si="63"/>
        <v>374.5</v>
      </c>
    </row>
    <row r="466" spans="1:22" x14ac:dyDescent="0.2">
      <c r="A466" s="53">
        <v>647291</v>
      </c>
      <c r="B466" s="1" t="s">
        <v>703</v>
      </c>
      <c r="C466" s="5" t="s">
        <v>201</v>
      </c>
      <c r="E466" s="47">
        <v>1.7</v>
      </c>
      <c r="F466" s="47">
        <v>7.16</v>
      </c>
      <c r="G466" s="47">
        <f t="shared" si="57"/>
        <v>8.86</v>
      </c>
      <c r="H466" s="47">
        <v>109.9</v>
      </c>
      <c r="I466" s="16">
        <f t="shared" si="58"/>
        <v>12.404063205417609</v>
      </c>
      <c r="J466" s="5">
        <f t="shared" si="59"/>
        <v>5</v>
      </c>
      <c r="K466" s="5">
        <v>0</v>
      </c>
      <c r="L466" s="5">
        <v>5</v>
      </c>
      <c r="M466" s="5">
        <v>0</v>
      </c>
      <c r="N466" s="48">
        <f t="shared" si="56"/>
        <v>549.5</v>
      </c>
      <c r="O466" s="48">
        <f t="shared" si="60"/>
        <v>0</v>
      </c>
      <c r="P466" s="48">
        <f t="shared" si="61"/>
        <v>549.5</v>
      </c>
      <c r="Q466" s="48">
        <f t="shared" si="62"/>
        <v>44.3</v>
      </c>
      <c r="R466" s="5" t="s">
        <v>682</v>
      </c>
      <c r="S466" s="5" t="s">
        <v>683</v>
      </c>
      <c r="V466" s="44">
        <f t="shared" si="63"/>
        <v>549.5</v>
      </c>
    </row>
    <row r="467" spans="1:22" x14ac:dyDescent="0.2">
      <c r="A467" s="53">
        <v>839205</v>
      </c>
      <c r="B467" s="1" t="s">
        <v>704</v>
      </c>
      <c r="C467" s="5" t="s">
        <v>201</v>
      </c>
      <c r="E467" s="47">
        <v>1.7</v>
      </c>
      <c r="F467" s="47">
        <v>10.72</v>
      </c>
      <c r="G467" s="47">
        <f t="shared" si="57"/>
        <v>12.42</v>
      </c>
      <c r="H467" s="47">
        <v>139.9</v>
      </c>
      <c r="I467" s="16">
        <f t="shared" si="58"/>
        <v>11.264090177133657</v>
      </c>
      <c r="J467" s="5">
        <f t="shared" si="59"/>
        <v>5</v>
      </c>
      <c r="K467" s="5">
        <v>0</v>
      </c>
      <c r="L467" s="5">
        <v>5</v>
      </c>
      <c r="M467" s="5">
        <v>0</v>
      </c>
      <c r="N467" s="48">
        <f t="shared" si="56"/>
        <v>699.5</v>
      </c>
      <c r="O467" s="48">
        <f t="shared" si="60"/>
        <v>0</v>
      </c>
      <c r="P467" s="48">
        <f t="shared" si="61"/>
        <v>699.5</v>
      </c>
      <c r="Q467" s="48">
        <f t="shared" si="62"/>
        <v>62.1</v>
      </c>
      <c r="R467" s="5" t="s">
        <v>682</v>
      </c>
      <c r="S467" s="5" t="s">
        <v>683</v>
      </c>
      <c r="V467" s="44">
        <f t="shared" si="63"/>
        <v>699.5</v>
      </c>
    </row>
    <row r="468" spans="1:22" x14ac:dyDescent="0.2">
      <c r="A468" s="53">
        <v>210486</v>
      </c>
      <c r="B468" s="1" t="s">
        <v>705</v>
      </c>
      <c r="C468" s="5" t="s">
        <v>201</v>
      </c>
      <c r="E468" s="47">
        <v>1.7</v>
      </c>
      <c r="F468" s="47">
        <v>7.33</v>
      </c>
      <c r="G468" s="47">
        <f t="shared" si="57"/>
        <v>9.0299999999999994</v>
      </c>
      <c r="H468" s="47">
        <v>89.9</v>
      </c>
      <c r="I468" s="16">
        <f t="shared" si="58"/>
        <v>9.9557032115171662</v>
      </c>
      <c r="J468" s="5">
        <f t="shared" si="59"/>
        <v>4</v>
      </c>
      <c r="K468" s="5">
        <v>0</v>
      </c>
      <c r="L468" s="5">
        <v>4</v>
      </c>
      <c r="M468" s="5">
        <v>0</v>
      </c>
      <c r="N468" s="48">
        <f t="shared" si="56"/>
        <v>359.6</v>
      </c>
      <c r="O468" s="48">
        <f t="shared" si="60"/>
        <v>0</v>
      </c>
      <c r="P468" s="48">
        <f t="shared" si="61"/>
        <v>359.6</v>
      </c>
      <c r="Q468" s="48">
        <f t="shared" si="62"/>
        <v>36.119999999999997</v>
      </c>
      <c r="R468" s="5" t="s">
        <v>682</v>
      </c>
      <c r="S468" s="5" t="s">
        <v>683</v>
      </c>
      <c r="V468" s="44">
        <f t="shared" si="63"/>
        <v>359.6</v>
      </c>
    </row>
    <row r="469" spans="1:22" x14ac:dyDescent="0.2">
      <c r="A469" s="53">
        <v>573829</v>
      </c>
      <c r="B469" s="1" t="s">
        <v>706</v>
      </c>
      <c r="C469" s="5" t="s">
        <v>201</v>
      </c>
      <c r="E469" s="47">
        <v>1.7</v>
      </c>
      <c r="F469" s="47">
        <v>7.24</v>
      </c>
      <c r="G469" s="47">
        <f t="shared" si="57"/>
        <v>8.94</v>
      </c>
      <c r="H469" s="47">
        <v>89.9</v>
      </c>
      <c r="I469" s="16">
        <f t="shared" si="58"/>
        <v>10.055928411633111</v>
      </c>
      <c r="J469" s="5">
        <f t="shared" si="59"/>
        <v>5</v>
      </c>
      <c r="K469" s="5">
        <v>0</v>
      </c>
      <c r="L469" s="5">
        <v>5</v>
      </c>
      <c r="M469" s="5">
        <v>0</v>
      </c>
      <c r="N469" s="48">
        <f t="shared" si="56"/>
        <v>449.5</v>
      </c>
      <c r="O469" s="48">
        <f t="shared" si="60"/>
        <v>0</v>
      </c>
      <c r="P469" s="48">
        <f t="shared" si="61"/>
        <v>449.5</v>
      </c>
      <c r="Q469" s="48">
        <f t="shared" si="62"/>
        <v>44.699999999999996</v>
      </c>
      <c r="R469" s="5" t="s">
        <v>682</v>
      </c>
      <c r="S469" s="5" t="s">
        <v>683</v>
      </c>
      <c r="V469" s="44">
        <f t="shared" si="63"/>
        <v>449.5</v>
      </c>
    </row>
    <row r="470" spans="1:22" x14ac:dyDescent="0.2">
      <c r="A470" s="53">
        <v>492017</v>
      </c>
      <c r="B470" s="1" t="s">
        <v>707</v>
      </c>
      <c r="C470" s="5" t="s">
        <v>201</v>
      </c>
      <c r="E470" s="47">
        <v>1.7</v>
      </c>
      <c r="F470" s="47">
        <v>9.73</v>
      </c>
      <c r="G470" s="47">
        <f t="shared" si="57"/>
        <v>11.43</v>
      </c>
      <c r="H470" s="47">
        <v>139.9</v>
      </c>
      <c r="I470" s="16">
        <f t="shared" si="58"/>
        <v>12.239720034995626</v>
      </c>
      <c r="J470" s="5">
        <f t="shared" si="59"/>
        <v>5</v>
      </c>
      <c r="K470" s="5">
        <v>0</v>
      </c>
      <c r="L470" s="5">
        <v>5</v>
      </c>
      <c r="M470" s="5">
        <v>0</v>
      </c>
      <c r="N470" s="48">
        <f t="shared" si="56"/>
        <v>699.5</v>
      </c>
      <c r="O470" s="48">
        <f t="shared" si="60"/>
        <v>0</v>
      </c>
      <c r="P470" s="48">
        <f t="shared" si="61"/>
        <v>699.5</v>
      </c>
      <c r="Q470" s="48">
        <f t="shared" si="62"/>
        <v>57.15</v>
      </c>
      <c r="R470" s="5" t="s">
        <v>682</v>
      </c>
      <c r="S470" s="5" t="s">
        <v>683</v>
      </c>
      <c r="V470" s="44">
        <f t="shared" si="63"/>
        <v>699.5</v>
      </c>
    </row>
    <row r="471" spans="1:22" x14ac:dyDescent="0.2">
      <c r="A471" s="53">
        <v>861034</v>
      </c>
      <c r="B471" s="1" t="s">
        <v>708</v>
      </c>
      <c r="C471" s="5" t="s">
        <v>201</v>
      </c>
      <c r="E471" s="47">
        <v>1.7</v>
      </c>
      <c r="F471" s="47">
        <v>8.24</v>
      </c>
      <c r="G471" s="47">
        <f t="shared" si="57"/>
        <v>9.94</v>
      </c>
      <c r="H471" s="47">
        <v>119.9</v>
      </c>
      <c r="I471" s="16">
        <f t="shared" si="58"/>
        <v>12.062374245472839</v>
      </c>
      <c r="J471" s="5">
        <f t="shared" si="59"/>
        <v>5</v>
      </c>
      <c r="K471" s="5">
        <v>0</v>
      </c>
      <c r="L471" s="5">
        <v>5</v>
      </c>
      <c r="M471" s="5">
        <v>0</v>
      </c>
      <c r="N471" s="48">
        <f t="shared" si="56"/>
        <v>599.5</v>
      </c>
      <c r="O471" s="48">
        <f t="shared" si="60"/>
        <v>0</v>
      </c>
      <c r="P471" s="48">
        <f t="shared" si="61"/>
        <v>599.5</v>
      </c>
      <c r="Q471" s="48">
        <f t="shared" si="62"/>
        <v>49.699999999999996</v>
      </c>
      <c r="R471" s="5" t="s">
        <v>682</v>
      </c>
      <c r="S471" s="5" t="s">
        <v>683</v>
      </c>
      <c r="V471" s="44">
        <f t="shared" si="63"/>
        <v>599.5</v>
      </c>
    </row>
    <row r="472" spans="1:22" x14ac:dyDescent="0.2">
      <c r="A472" s="53">
        <v>305928</v>
      </c>
      <c r="B472" s="1" t="s">
        <v>709</v>
      </c>
      <c r="C472" s="5" t="s">
        <v>201</v>
      </c>
      <c r="E472" s="47">
        <v>1.7</v>
      </c>
      <c r="F472" s="47">
        <v>7.41</v>
      </c>
      <c r="G472" s="47">
        <f t="shared" si="57"/>
        <v>9.11</v>
      </c>
      <c r="H472" s="47">
        <v>99.9</v>
      </c>
      <c r="I472" s="16">
        <f t="shared" si="58"/>
        <v>10.96597145993414</v>
      </c>
      <c r="J472" s="5">
        <f t="shared" si="59"/>
        <v>5</v>
      </c>
      <c r="K472" s="5">
        <v>0</v>
      </c>
      <c r="L472" s="5">
        <v>5</v>
      </c>
      <c r="M472" s="5">
        <v>0</v>
      </c>
      <c r="N472" s="48">
        <f t="shared" si="56"/>
        <v>499.5</v>
      </c>
      <c r="O472" s="48">
        <f t="shared" si="60"/>
        <v>0</v>
      </c>
      <c r="P472" s="48">
        <f t="shared" si="61"/>
        <v>499.5</v>
      </c>
      <c r="Q472" s="48">
        <f t="shared" si="62"/>
        <v>45.55</v>
      </c>
      <c r="R472" s="5" t="s">
        <v>682</v>
      </c>
      <c r="S472" s="5" t="s">
        <v>683</v>
      </c>
      <c r="V472" s="44">
        <f t="shared" si="63"/>
        <v>499.5</v>
      </c>
    </row>
    <row r="473" spans="1:22" x14ac:dyDescent="0.2">
      <c r="A473" s="53">
        <v>748105</v>
      </c>
      <c r="B473" s="1" t="s">
        <v>710</v>
      </c>
      <c r="C473" s="5" t="s">
        <v>201</v>
      </c>
      <c r="E473" s="47">
        <v>1.7</v>
      </c>
      <c r="F473" s="47">
        <v>7.33</v>
      </c>
      <c r="G473" s="47">
        <f t="shared" si="57"/>
        <v>9.0299999999999994</v>
      </c>
      <c r="H473" s="47">
        <v>99.9</v>
      </c>
      <c r="I473" s="16">
        <f t="shared" si="58"/>
        <v>11.063122923588042</v>
      </c>
      <c r="J473" s="5">
        <f t="shared" si="59"/>
        <v>5</v>
      </c>
      <c r="K473" s="5">
        <v>0</v>
      </c>
      <c r="L473" s="5">
        <v>5</v>
      </c>
      <c r="M473" s="5">
        <v>0</v>
      </c>
      <c r="N473" s="48">
        <f t="shared" si="56"/>
        <v>499.5</v>
      </c>
      <c r="O473" s="48">
        <f t="shared" si="60"/>
        <v>0</v>
      </c>
      <c r="P473" s="48">
        <f t="shared" si="61"/>
        <v>499.5</v>
      </c>
      <c r="Q473" s="48">
        <f t="shared" si="62"/>
        <v>45.15</v>
      </c>
      <c r="R473" s="5" t="s">
        <v>682</v>
      </c>
      <c r="S473" s="5" t="s">
        <v>683</v>
      </c>
      <c r="V473" s="44">
        <f t="shared" si="63"/>
        <v>499.5</v>
      </c>
    </row>
    <row r="474" spans="1:22" x14ac:dyDescent="0.2">
      <c r="A474" s="53">
        <v>192837</v>
      </c>
      <c r="B474" s="1" t="s">
        <v>711</v>
      </c>
      <c r="C474" s="5" t="s">
        <v>201</v>
      </c>
      <c r="E474" s="47">
        <v>1.7</v>
      </c>
      <c r="F474" s="47">
        <v>13.41</v>
      </c>
      <c r="G474" s="47">
        <f t="shared" si="57"/>
        <v>15.11</v>
      </c>
      <c r="H474" s="47">
        <v>169.9</v>
      </c>
      <c r="I474" s="16">
        <f t="shared" si="58"/>
        <v>11.244209133024487</v>
      </c>
      <c r="J474" s="5">
        <f t="shared" si="59"/>
        <v>5</v>
      </c>
      <c r="K474" s="5">
        <v>0</v>
      </c>
      <c r="L474" s="5">
        <v>5</v>
      </c>
      <c r="M474" s="5">
        <v>0</v>
      </c>
      <c r="N474" s="48">
        <f t="shared" si="56"/>
        <v>849.5</v>
      </c>
      <c r="O474" s="48">
        <f t="shared" si="60"/>
        <v>0</v>
      </c>
      <c r="P474" s="48">
        <f t="shared" si="61"/>
        <v>849.5</v>
      </c>
      <c r="Q474" s="48">
        <f t="shared" si="62"/>
        <v>75.55</v>
      </c>
      <c r="R474" s="5" t="s">
        <v>682</v>
      </c>
      <c r="S474" s="5" t="s">
        <v>683</v>
      </c>
      <c r="V474" s="44">
        <f t="shared" si="63"/>
        <v>849.5</v>
      </c>
    </row>
    <row r="475" spans="1:22" x14ac:dyDescent="0.2">
      <c r="A475" s="53">
        <v>604729</v>
      </c>
      <c r="B475" s="1" t="s">
        <v>712</v>
      </c>
      <c r="C475" s="5" t="s">
        <v>201</v>
      </c>
      <c r="E475" s="47">
        <v>1.7</v>
      </c>
      <c r="F475" s="47">
        <v>6.79</v>
      </c>
      <c r="G475" s="47">
        <f t="shared" si="57"/>
        <v>8.49</v>
      </c>
      <c r="H475" s="47">
        <v>99.9</v>
      </c>
      <c r="I475" s="16">
        <f t="shared" si="58"/>
        <v>11.76678445229682</v>
      </c>
      <c r="J475" s="5">
        <f t="shared" si="59"/>
        <v>5</v>
      </c>
      <c r="K475" s="5">
        <v>0</v>
      </c>
      <c r="L475" s="5">
        <v>5</v>
      </c>
      <c r="M475" s="5">
        <v>0</v>
      </c>
      <c r="N475" s="48">
        <f t="shared" si="56"/>
        <v>499.5</v>
      </c>
      <c r="O475" s="48">
        <f t="shared" si="60"/>
        <v>0</v>
      </c>
      <c r="P475" s="48">
        <f t="shared" si="61"/>
        <v>499.5</v>
      </c>
      <c r="Q475" s="48">
        <f t="shared" si="62"/>
        <v>42.45</v>
      </c>
      <c r="R475" s="5" t="s">
        <v>682</v>
      </c>
      <c r="S475" s="5" t="s">
        <v>683</v>
      </c>
      <c r="V475" s="44">
        <f t="shared" si="63"/>
        <v>499.5</v>
      </c>
    </row>
    <row r="476" spans="1:22" x14ac:dyDescent="0.2">
      <c r="A476" s="53">
        <v>839105</v>
      </c>
      <c r="B476" s="1" t="s">
        <v>713</v>
      </c>
      <c r="C476" s="5" t="s">
        <v>201</v>
      </c>
      <c r="E476" s="47">
        <v>1.7</v>
      </c>
      <c r="F476" s="47">
        <v>5.38</v>
      </c>
      <c r="G476" s="47">
        <f t="shared" si="57"/>
        <v>7.08</v>
      </c>
      <c r="H476" s="47">
        <v>79.900000000000006</v>
      </c>
      <c r="I476" s="16">
        <f t="shared" si="58"/>
        <v>11.285310734463277</v>
      </c>
      <c r="J476" s="5">
        <f t="shared" si="59"/>
        <v>5</v>
      </c>
      <c r="K476" s="5">
        <v>0</v>
      </c>
      <c r="L476" s="5">
        <v>5</v>
      </c>
      <c r="M476" s="5">
        <v>0</v>
      </c>
      <c r="N476" s="48">
        <f t="shared" si="56"/>
        <v>399.5</v>
      </c>
      <c r="O476" s="48">
        <f t="shared" si="60"/>
        <v>0</v>
      </c>
      <c r="P476" s="48">
        <f t="shared" si="61"/>
        <v>399.5</v>
      </c>
      <c r="Q476" s="48">
        <f t="shared" si="62"/>
        <v>35.4</v>
      </c>
      <c r="R476" s="5" t="s">
        <v>682</v>
      </c>
      <c r="S476" s="5" t="s">
        <v>683</v>
      </c>
      <c r="V476" s="44">
        <f t="shared" si="63"/>
        <v>399.5</v>
      </c>
    </row>
    <row r="477" spans="1:22" x14ac:dyDescent="0.2">
      <c r="A477" s="53">
        <v>274810</v>
      </c>
      <c r="B477" s="1" t="s">
        <v>714</v>
      </c>
      <c r="C477" s="5" t="s">
        <v>201</v>
      </c>
      <c r="E477" s="47">
        <v>1.7</v>
      </c>
      <c r="F477" s="47">
        <v>10.64</v>
      </c>
      <c r="G477" s="47">
        <f t="shared" si="57"/>
        <v>12.34</v>
      </c>
      <c r="H477" s="47">
        <v>129.9</v>
      </c>
      <c r="I477" s="16">
        <f t="shared" si="58"/>
        <v>10.526742301458672</v>
      </c>
      <c r="J477" s="5">
        <f t="shared" si="59"/>
        <v>5</v>
      </c>
      <c r="K477" s="5">
        <v>0</v>
      </c>
      <c r="L477" s="5">
        <v>5</v>
      </c>
      <c r="M477" s="5">
        <v>0</v>
      </c>
      <c r="N477" s="48">
        <f t="shared" si="56"/>
        <v>649.5</v>
      </c>
      <c r="O477" s="48">
        <f t="shared" si="60"/>
        <v>0</v>
      </c>
      <c r="P477" s="48">
        <f t="shared" si="61"/>
        <v>649.5</v>
      </c>
      <c r="Q477" s="48">
        <f t="shared" si="62"/>
        <v>61.7</v>
      </c>
      <c r="R477" s="5" t="s">
        <v>682</v>
      </c>
      <c r="S477" s="5" t="s">
        <v>683</v>
      </c>
      <c r="V477" s="44">
        <f t="shared" si="63"/>
        <v>649.5</v>
      </c>
    </row>
    <row r="478" spans="1:22" x14ac:dyDescent="0.2">
      <c r="A478" s="53">
        <v>503928</v>
      </c>
      <c r="B478" s="1" t="s">
        <v>715</v>
      </c>
      <c r="C478" s="5" t="s">
        <v>201</v>
      </c>
      <c r="E478" s="47">
        <v>1.7</v>
      </c>
      <c r="F478" s="47">
        <v>9.4</v>
      </c>
      <c r="G478" s="47">
        <f t="shared" si="57"/>
        <v>11.1</v>
      </c>
      <c r="H478" s="47">
        <v>119.9</v>
      </c>
      <c r="I478" s="16">
        <f t="shared" si="58"/>
        <v>10.801801801801803</v>
      </c>
      <c r="J478" s="5">
        <f t="shared" si="59"/>
        <v>5</v>
      </c>
      <c r="K478" s="5">
        <v>0</v>
      </c>
      <c r="L478" s="5">
        <v>5</v>
      </c>
      <c r="M478" s="5">
        <v>0</v>
      </c>
      <c r="N478" s="48">
        <f t="shared" si="56"/>
        <v>599.5</v>
      </c>
      <c r="O478" s="48">
        <f t="shared" si="60"/>
        <v>0</v>
      </c>
      <c r="P478" s="48">
        <f t="shared" si="61"/>
        <v>599.5</v>
      </c>
      <c r="Q478" s="48">
        <f t="shared" si="62"/>
        <v>55.5</v>
      </c>
      <c r="R478" s="5" t="s">
        <v>682</v>
      </c>
      <c r="S478" s="5" t="s">
        <v>683</v>
      </c>
      <c r="V478" s="44">
        <f t="shared" si="63"/>
        <v>599.5</v>
      </c>
    </row>
    <row r="479" spans="1:22" x14ac:dyDescent="0.2">
      <c r="A479" s="53">
        <v>917283</v>
      </c>
      <c r="B479" s="1" t="s">
        <v>716</v>
      </c>
      <c r="C479" s="5" t="s">
        <v>201</v>
      </c>
      <c r="E479" s="47">
        <v>1.7</v>
      </c>
      <c r="F479" s="47">
        <v>8.94</v>
      </c>
      <c r="G479" s="47">
        <f t="shared" si="57"/>
        <v>10.639999999999999</v>
      </c>
      <c r="H479" s="47">
        <v>109.9</v>
      </c>
      <c r="I479" s="16">
        <f t="shared" si="58"/>
        <v>10.328947368421055</v>
      </c>
      <c r="J479" s="5">
        <f t="shared" si="59"/>
        <v>5</v>
      </c>
      <c r="K479" s="5">
        <v>0</v>
      </c>
      <c r="L479" s="5">
        <v>5</v>
      </c>
      <c r="M479" s="5">
        <v>0</v>
      </c>
      <c r="N479" s="48">
        <f t="shared" si="56"/>
        <v>549.5</v>
      </c>
      <c r="O479" s="48">
        <f t="shared" si="60"/>
        <v>0</v>
      </c>
      <c r="P479" s="48">
        <f t="shared" si="61"/>
        <v>549.5</v>
      </c>
      <c r="Q479" s="48">
        <f t="shared" si="62"/>
        <v>53.199999999999996</v>
      </c>
      <c r="R479" s="5" t="s">
        <v>682</v>
      </c>
      <c r="S479" s="5" t="s">
        <v>683</v>
      </c>
      <c r="V479" s="44">
        <f t="shared" si="63"/>
        <v>549.5</v>
      </c>
    </row>
    <row r="480" spans="1:22" x14ac:dyDescent="0.2">
      <c r="A480" s="53" t="s">
        <v>717</v>
      </c>
      <c r="B480" s="1" t="s">
        <v>718</v>
      </c>
      <c r="C480" s="5" t="s">
        <v>360</v>
      </c>
      <c r="E480" s="47">
        <v>7.99</v>
      </c>
      <c r="F480" s="47">
        <v>9.1</v>
      </c>
      <c r="G480" s="47">
        <f t="shared" si="57"/>
        <v>17.09</v>
      </c>
      <c r="H480" s="47">
        <v>149.9</v>
      </c>
      <c r="I480" s="16">
        <f t="shared" si="58"/>
        <v>8.7712112346401412</v>
      </c>
      <c r="J480" s="5">
        <f t="shared" si="59"/>
        <v>1</v>
      </c>
      <c r="K480" s="5">
        <v>0</v>
      </c>
      <c r="L480" s="5">
        <v>1</v>
      </c>
      <c r="M480" s="5">
        <v>0</v>
      </c>
      <c r="N480" s="48">
        <f t="shared" si="56"/>
        <v>149.9</v>
      </c>
      <c r="O480" s="48">
        <f t="shared" si="60"/>
        <v>0</v>
      </c>
      <c r="P480" s="48">
        <f t="shared" si="61"/>
        <v>149.9</v>
      </c>
      <c r="Q480" s="48">
        <f t="shared" si="62"/>
        <v>17.09</v>
      </c>
      <c r="R480" s="5" t="s">
        <v>682</v>
      </c>
      <c r="S480" s="5" t="s">
        <v>683</v>
      </c>
      <c r="V480" s="44">
        <f t="shared" si="63"/>
        <v>149.9</v>
      </c>
    </row>
    <row r="481" spans="1:22" x14ac:dyDescent="0.2">
      <c r="A481" s="53" t="s">
        <v>719</v>
      </c>
      <c r="B481" s="1" t="s">
        <v>720</v>
      </c>
      <c r="C481" s="5" t="s">
        <v>360</v>
      </c>
      <c r="E481" s="47">
        <v>7.94</v>
      </c>
      <c r="F481" s="47">
        <v>11.94</v>
      </c>
      <c r="G481" s="47">
        <f t="shared" si="57"/>
        <v>19.88</v>
      </c>
      <c r="H481" s="47">
        <v>179.9</v>
      </c>
      <c r="I481" s="16">
        <f t="shared" si="58"/>
        <v>9.0492957746478879</v>
      </c>
      <c r="J481" s="5">
        <f t="shared" si="59"/>
        <v>2</v>
      </c>
      <c r="K481" s="5">
        <v>0</v>
      </c>
      <c r="L481" s="5">
        <v>2</v>
      </c>
      <c r="M481" s="5">
        <v>0</v>
      </c>
      <c r="N481" s="48">
        <f t="shared" si="56"/>
        <v>359.8</v>
      </c>
      <c r="O481" s="48">
        <f t="shared" si="60"/>
        <v>0</v>
      </c>
      <c r="P481" s="48">
        <f t="shared" si="61"/>
        <v>359.8</v>
      </c>
      <c r="Q481" s="48">
        <f t="shared" si="62"/>
        <v>39.76</v>
      </c>
      <c r="R481" s="5" t="s">
        <v>682</v>
      </c>
      <c r="S481" s="5" t="s">
        <v>683</v>
      </c>
      <c r="V481" s="44">
        <f t="shared" si="63"/>
        <v>359.8</v>
      </c>
    </row>
    <row r="482" spans="1:22" x14ac:dyDescent="0.2">
      <c r="A482" s="53" t="s">
        <v>721</v>
      </c>
      <c r="B482" s="1" t="s">
        <v>722</v>
      </c>
      <c r="C482" s="5" t="s">
        <v>360</v>
      </c>
      <c r="E482" s="47">
        <v>7.99</v>
      </c>
      <c r="F482" s="47">
        <v>9.1</v>
      </c>
      <c r="G482" s="47">
        <f t="shared" si="57"/>
        <v>17.09</v>
      </c>
      <c r="H482" s="47">
        <v>149.9</v>
      </c>
      <c r="I482" s="16">
        <f t="shared" si="58"/>
        <v>8.7712112346401412</v>
      </c>
      <c r="J482" s="5">
        <f t="shared" si="59"/>
        <v>1</v>
      </c>
      <c r="K482" s="5">
        <v>0</v>
      </c>
      <c r="L482" s="5">
        <v>1</v>
      </c>
      <c r="M482" s="5">
        <v>0</v>
      </c>
      <c r="N482" s="48">
        <f t="shared" si="56"/>
        <v>149.9</v>
      </c>
      <c r="O482" s="48">
        <f t="shared" si="60"/>
        <v>0</v>
      </c>
      <c r="P482" s="48">
        <f t="shared" si="61"/>
        <v>149.9</v>
      </c>
      <c r="Q482" s="48">
        <f t="shared" si="62"/>
        <v>17.09</v>
      </c>
      <c r="R482" s="5" t="s">
        <v>682</v>
      </c>
      <c r="S482" s="5" t="s">
        <v>683</v>
      </c>
      <c r="V482" s="44">
        <f t="shared" si="63"/>
        <v>149.9</v>
      </c>
    </row>
    <row r="483" spans="1:22" x14ac:dyDescent="0.2">
      <c r="A483" s="53" t="s">
        <v>723</v>
      </c>
      <c r="B483" s="1" t="s">
        <v>724</v>
      </c>
      <c r="C483" s="5" t="s">
        <v>360</v>
      </c>
      <c r="E483" s="47">
        <v>7.48</v>
      </c>
      <c r="F483" s="47">
        <v>8.52</v>
      </c>
      <c r="G483" s="47">
        <f t="shared" si="57"/>
        <v>16</v>
      </c>
      <c r="H483" s="47">
        <v>139.9</v>
      </c>
      <c r="I483" s="16">
        <f t="shared" si="58"/>
        <v>8.7437500000000004</v>
      </c>
      <c r="J483" s="5">
        <f t="shared" si="59"/>
        <v>1</v>
      </c>
      <c r="K483" s="5">
        <v>0</v>
      </c>
      <c r="L483" s="5">
        <v>1</v>
      </c>
      <c r="M483" s="5">
        <v>0</v>
      </c>
      <c r="N483" s="48">
        <f t="shared" si="56"/>
        <v>139.9</v>
      </c>
      <c r="O483" s="48">
        <f t="shared" si="60"/>
        <v>0</v>
      </c>
      <c r="P483" s="48">
        <f t="shared" si="61"/>
        <v>139.9</v>
      </c>
      <c r="Q483" s="48">
        <f t="shared" si="62"/>
        <v>16</v>
      </c>
      <c r="R483" s="5" t="s">
        <v>682</v>
      </c>
      <c r="S483" s="5" t="s">
        <v>683</v>
      </c>
      <c r="V483" s="44">
        <f t="shared" si="63"/>
        <v>139.9</v>
      </c>
    </row>
    <row r="484" spans="1:22" x14ac:dyDescent="0.2">
      <c r="A484" s="53" t="s">
        <v>725</v>
      </c>
      <c r="B484" s="1" t="s">
        <v>726</v>
      </c>
      <c r="C484" s="5" t="s">
        <v>360</v>
      </c>
      <c r="E484" s="47">
        <v>7.48</v>
      </c>
      <c r="F484" s="47">
        <v>8.52</v>
      </c>
      <c r="G484" s="47">
        <f t="shared" si="57"/>
        <v>16</v>
      </c>
      <c r="H484" s="47">
        <v>139.9</v>
      </c>
      <c r="I484" s="16">
        <f t="shared" si="58"/>
        <v>8.7437500000000004</v>
      </c>
      <c r="J484" s="5">
        <f t="shared" si="59"/>
        <v>1</v>
      </c>
      <c r="K484" s="5">
        <v>0</v>
      </c>
      <c r="L484" s="5">
        <v>1</v>
      </c>
      <c r="M484" s="5">
        <v>0</v>
      </c>
      <c r="N484" s="48">
        <f t="shared" si="56"/>
        <v>139.9</v>
      </c>
      <c r="O484" s="48">
        <f t="shared" si="60"/>
        <v>0</v>
      </c>
      <c r="P484" s="48">
        <f t="shared" si="61"/>
        <v>139.9</v>
      </c>
      <c r="Q484" s="48">
        <f t="shared" si="62"/>
        <v>16</v>
      </c>
      <c r="R484" s="5" t="s">
        <v>682</v>
      </c>
      <c r="S484" s="5" t="s">
        <v>683</v>
      </c>
      <c r="V484" s="44">
        <f t="shared" si="63"/>
        <v>139.9</v>
      </c>
    </row>
    <row r="485" spans="1:22" x14ac:dyDescent="0.2">
      <c r="A485" s="53" t="s">
        <v>727</v>
      </c>
      <c r="B485" s="1" t="s">
        <v>728</v>
      </c>
      <c r="C485" s="5" t="s">
        <v>360</v>
      </c>
      <c r="E485" s="47">
        <v>7.48</v>
      </c>
      <c r="F485" s="47">
        <v>7.1</v>
      </c>
      <c r="G485" s="47">
        <f t="shared" si="57"/>
        <v>14.58</v>
      </c>
      <c r="H485" s="47">
        <v>139.9</v>
      </c>
      <c r="I485" s="16">
        <f t="shared" si="58"/>
        <v>9.5953360768175582</v>
      </c>
      <c r="J485" s="5">
        <f t="shared" si="59"/>
        <v>2</v>
      </c>
      <c r="K485" s="5">
        <v>0</v>
      </c>
      <c r="L485" s="5">
        <v>2</v>
      </c>
      <c r="M485" s="5">
        <v>0</v>
      </c>
      <c r="N485" s="48">
        <f t="shared" si="56"/>
        <v>279.8</v>
      </c>
      <c r="O485" s="48">
        <f t="shared" si="60"/>
        <v>0</v>
      </c>
      <c r="P485" s="48">
        <f t="shared" si="61"/>
        <v>279.8</v>
      </c>
      <c r="Q485" s="48">
        <f t="shared" si="62"/>
        <v>29.16</v>
      </c>
      <c r="R485" s="5" t="s">
        <v>682</v>
      </c>
      <c r="S485" s="5" t="s">
        <v>683</v>
      </c>
      <c r="V485" s="44">
        <f t="shared" si="63"/>
        <v>279.8</v>
      </c>
    </row>
    <row r="486" spans="1:22" x14ac:dyDescent="0.2">
      <c r="A486" s="53" t="s">
        <v>729</v>
      </c>
      <c r="B486" s="1" t="s">
        <v>730</v>
      </c>
      <c r="C486" s="5" t="s">
        <v>144</v>
      </c>
      <c r="E486" s="47">
        <v>2.88</v>
      </c>
      <c r="F486" s="47">
        <v>3.13</v>
      </c>
      <c r="G486" s="47">
        <f t="shared" si="57"/>
        <v>6.01</v>
      </c>
      <c r="H486" s="47">
        <v>59.9</v>
      </c>
      <c r="I486" s="16">
        <f t="shared" si="58"/>
        <v>9.9667221297836939</v>
      </c>
      <c r="J486" s="5">
        <f t="shared" si="59"/>
        <v>2</v>
      </c>
      <c r="K486" s="5">
        <v>0</v>
      </c>
      <c r="L486" s="5">
        <v>2</v>
      </c>
      <c r="M486" s="5">
        <v>0</v>
      </c>
      <c r="N486" s="48">
        <f t="shared" si="56"/>
        <v>119.8</v>
      </c>
      <c r="O486" s="48">
        <f t="shared" si="60"/>
        <v>0</v>
      </c>
      <c r="P486" s="48">
        <f t="shared" si="61"/>
        <v>119.8</v>
      </c>
      <c r="Q486" s="48">
        <f t="shared" si="62"/>
        <v>12.02</v>
      </c>
      <c r="R486" s="5" t="s">
        <v>682</v>
      </c>
      <c r="S486" s="5" t="s">
        <v>683</v>
      </c>
      <c r="V486" s="44">
        <f t="shared" si="63"/>
        <v>119.8</v>
      </c>
    </row>
    <row r="487" spans="1:22" x14ac:dyDescent="0.2">
      <c r="A487" s="53" t="s">
        <v>731</v>
      </c>
      <c r="B487" s="1" t="s">
        <v>732</v>
      </c>
      <c r="C487" s="5" t="s">
        <v>360</v>
      </c>
      <c r="E487" s="47">
        <v>7.99</v>
      </c>
      <c r="F487" s="47">
        <v>6.26</v>
      </c>
      <c r="G487" s="47">
        <f t="shared" si="57"/>
        <v>14.25</v>
      </c>
      <c r="H487" s="47">
        <v>129.9</v>
      </c>
      <c r="I487" s="16">
        <f t="shared" si="58"/>
        <v>9.1157894736842113</v>
      </c>
      <c r="J487" s="5">
        <f t="shared" si="59"/>
        <v>2</v>
      </c>
      <c r="K487" s="5">
        <v>0</v>
      </c>
      <c r="L487" s="5">
        <v>2</v>
      </c>
      <c r="M487" s="5">
        <v>0</v>
      </c>
      <c r="N487" s="48">
        <f t="shared" si="56"/>
        <v>259.8</v>
      </c>
      <c r="O487" s="48">
        <f t="shared" si="60"/>
        <v>0</v>
      </c>
      <c r="P487" s="48">
        <f t="shared" si="61"/>
        <v>259.8</v>
      </c>
      <c r="Q487" s="48">
        <f t="shared" si="62"/>
        <v>28.5</v>
      </c>
      <c r="R487" s="5" t="s">
        <v>682</v>
      </c>
      <c r="S487" s="5" t="s">
        <v>683</v>
      </c>
      <c r="V487" s="44">
        <f t="shared" si="63"/>
        <v>259.8</v>
      </c>
    </row>
    <row r="488" spans="1:22" x14ac:dyDescent="0.2">
      <c r="A488" s="53" t="s">
        <v>733</v>
      </c>
      <c r="B488" s="1" t="s">
        <v>734</v>
      </c>
      <c r="C488" s="5" t="s">
        <v>360</v>
      </c>
      <c r="E488" s="47">
        <v>6.84</v>
      </c>
      <c r="F488" s="47">
        <v>9.1</v>
      </c>
      <c r="G488" s="47">
        <f t="shared" si="57"/>
        <v>15.94</v>
      </c>
      <c r="H488" s="47">
        <v>149.9</v>
      </c>
      <c r="I488" s="16">
        <f t="shared" si="58"/>
        <v>9.4040150564617324</v>
      </c>
      <c r="J488" s="5">
        <f t="shared" si="59"/>
        <v>2</v>
      </c>
      <c r="K488" s="5">
        <v>0</v>
      </c>
      <c r="L488" s="5">
        <v>2</v>
      </c>
      <c r="M488" s="5">
        <v>0</v>
      </c>
      <c r="N488" s="48">
        <f t="shared" si="56"/>
        <v>299.8</v>
      </c>
      <c r="O488" s="48">
        <f t="shared" si="60"/>
        <v>0</v>
      </c>
      <c r="P488" s="48">
        <f t="shared" si="61"/>
        <v>299.8</v>
      </c>
      <c r="Q488" s="48">
        <f t="shared" si="62"/>
        <v>31.88</v>
      </c>
      <c r="R488" s="5" t="s">
        <v>682</v>
      </c>
      <c r="S488" s="5" t="s">
        <v>683</v>
      </c>
      <c r="V488" s="44">
        <f t="shared" si="63"/>
        <v>299.8</v>
      </c>
    </row>
    <row r="489" spans="1:22" x14ac:dyDescent="0.2">
      <c r="A489" s="53" t="s">
        <v>735</v>
      </c>
      <c r="B489" s="1" t="s">
        <v>736</v>
      </c>
      <c r="C489" s="5" t="s">
        <v>144</v>
      </c>
      <c r="E489" s="47">
        <v>6.1</v>
      </c>
      <c r="F489" s="47">
        <v>9.94</v>
      </c>
      <c r="G489" s="47">
        <f t="shared" si="57"/>
        <v>16.04</v>
      </c>
      <c r="H489" s="47">
        <v>149.9</v>
      </c>
      <c r="I489" s="16">
        <f t="shared" si="58"/>
        <v>9.3453865336658364</v>
      </c>
      <c r="J489" s="5">
        <f t="shared" si="59"/>
        <v>2</v>
      </c>
      <c r="K489" s="5">
        <v>0</v>
      </c>
      <c r="L489" s="5">
        <v>2</v>
      </c>
      <c r="M489" s="5">
        <v>0</v>
      </c>
      <c r="N489" s="48">
        <f t="shared" si="56"/>
        <v>299.8</v>
      </c>
      <c r="O489" s="48">
        <f t="shared" si="60"/>
        <v>0</v>
      </c>
      <c r="P489" s="48">
        <f t="shared" si="61"/>
        <v>299.8</v>
      </c>
      <c r="Q489" s="48">
        <f t="shared" si="62"/>
        <v>32.08</v>
      </c>
      <c r="R489" s="5" t="s">
        <v>682</v>
      </c>
      <c r="S489" s="5" t="s">
        <v>683</v>
      </c>
      <c r="V489" s="44">
        <f t="shared" si="63"/>
        <v>299.8</v>
      </c>
    </row>
    <row r="490" spans="1:22" x14ac:dyDescent="0.2">
      <c r="A490" s="53" t="s">
        <v>737</v>
      </c>
      <c r="B490" s="1" t="s">
        <v>738</v>
      </c>
      <c r="C490" s="5" t="s">
        <v>144</v>
      </c>
      <c r="E490" s="47">
        <v>5.73</v>
      </c>
      <c r="F490" s="47">
        <v>10.23</v>
      </c>
      <c r="G490" s="47">
        <f t="shared" si="57"/>
        <v>15.96</v>
      </c>
      <c r="H490" s="47">
        <v>139.9</v>
      </c>
      <c r="I490" s="16">
        <f t="shared" si="58"/>
        <v>8.7656641604010019</v>
      </c>
      <c r="J490" s="5">
        <f t="shared" si="59"/>
        <v>2</v>
      </c>
      <c r="K490" s="5">
        <v>0</v>
      </c>
      <c r="L490" s="5">
        <v>2</v>
      </c>
      <c r="M490" s="5">
        <v>0</v>
      </c>
      <c r="N490" s="48">
        <f t="shared" si="56"/>
        <v>279.8</v>
      </c>
      <c r="O490" s="48">
        <f t="shared" si="60"/>
        <v>0</v>
      </c>
      <c r="P490" s="48">
        <f t="shared" si="61"/>
        <v>279.8</v>
      </c>
      <c r="Q490" s="48">
        <f t="shared" si="62"/>
        <v>31.92</v>
      </c>
      <c r="R490" s="5" t="s">
        <v>682</v>
      </c>
      <c r="S490" s="5" t="s">
        <v>683</v>
      </c>
      <c r="V490" s="44">
        <f t="shared" si="63"/>
        <v>279.8</v>
      </c>
    </row>
    <row r="491" spans="1:22" x14ac:dyDescent="0.2">
      <c r="A491" s="53" t="s">
        <v>739</v>
      </c>
      <c r="B491" s="1" t="s">
        <v>740</v>
      </c>
      <c r="C491" s="5" t="s">
        <v>144</v>
      </c>
      <c r="E491" s="47">
        <v>5.18</v>
      </c>
      <c r="F491" s="47">
        <v>13.41</v>
      </c>
      <c r="G491" s="47">
        <f t="shared" si="57"/>
        <v>18.59</v>
      </c>
      <c r="H491" s="47">
        <v>129.9</v>
      </c>
      <c r="I491" s="16">
        <f t="shared" si="58"/>
        <v>6.9876277568585268</v>
      </c>
      <c r="J491" s="5">
        <f t="shared" si="59"/>
        <v>2</v>
      </c>
      <c r="K491" s="5">
        <v>0</v>
      </c>
      <c r="L491" s="5">
        <v>2</v>
      </c>
      <c r="M491" s="5">
        <v>0</v>
      </c>
      <c r="N491" s="48">
        <f t="shared" si="56"/>
        <v>259.8</v>
      </c>
      <c r="O491" s="48">
        <f t="shared" si="60"/>
        <v>0</v>
      </c>
      <c r="P491" s="48">
        <f t="shared" si="61"/>
        <v>259.8</v>
      </c>
      <c r="Q491" s="48">
        <f t="shared" si="62"/>
        <v>37.18</v>
      </c>
      <c r="R491" s="5" t="s">
        <v>682</v>
      </c>
      <c r="S491" s="5" t="s">
        <v>683</v>
      </c>
      <c r="V491" s="44">
        <f t="shared" si="63"/>
        <v>259.8</v>
      </c>
    </row>
    <row r="492" spans="1:22" x14ac:dyDescent="0.2">
      <c r="A492" s="53" t="s">
        <v>741</v>
      </c>
      <c r="B492" s="1" t="s">
        <v>742</v>
      </c>
      <c r="C492" s="5" t="s">
        <v>360</v>
      </c>
      <c r="E492" s="47">
        <v>6.27</v>
      </c>
      <c r="F492" s="47">
        <v>9.65</v>
      </c>
      <c r="G492" s="47">
        <f t="shared" si="57"/>
        <v>15.92</v>
      </c>
      <c r="H492" s="47">
        <v>149.9</v>
      </c>
      <c r="I492" s="16">
        <f t="shared" si="58"/>
        <v>9.4158291457286438</v>
      </c>
      <c r="J492" s="5">
        <f t="shared" si="59"/>
        <v>2</v>
      </c>
      <c r="K492" s="5">
        <v>0</v>
      </c>
      <c r="L492" s="5">
        <v>2</v>
      </c>
      <c r="M492" s="5">
        <v>0</v>
      </c>
      <c r="N492" s="48">
        <f t="shared" si="56"/>
        <v>299.8</v>
      </c>
      <c r="O492" s="48">
        <f t="shared" si="60"/>
        <v>0</v>
      </c>
      <c r="P492" s="48">
        <f t="shared" si="61"/>
        <v>299.8</v>
      </c>
      <c r="Q492" s="48">
        <f t="shared" si="62"/>
        <v>31.84</v>
      </c>
      <c r="R492" s="5" t="s">
        <v>682</v>
      </c>
      <c r="S492" s="5" t="s">
        <v>683</v>
      </c>
      <c r="V492" s="44">
        <f t="shared" si="63"/>
        <v>299.8</v>
      </c>
    </row>
    <row r="493" spans="1:22" x14ac:dyDescent="0.2">
      <c r="A493" s="53" t="s">
        <v>743</v>
      </c>
      <c r="B493" s="1" t="s">
        <v>744</v>
      </c>
      <c r="C493" s="5" t="s">
        <v>360</v>
      </c>
      <c r="E493" s="47">
        <v>5.73</v>
      </c>
      <c r="F493" s="47">
        <v>8.52</v>
      </c>
      <c r="G493" s="47">
        <f t="shared" si="57"/>
        <v>14.25</v>
      </c>
      <c r="H493" s="47">
        <v>149.9</v>
      </c>
      <c r="I493" s="16">
        <f t="shared" si="58"/>
        <v>10.519298245614035</v>
      </c>
      <c r="J493" s="5">
        <f t="shared" si="59"/>
        <v>2</v>
      </c>
      <c r="K493" s="5">
        <v>0</v>
      </c>
      <c r="L493" s="5">
        <v>2</v>
      </c>
      <c r="M493" s="5">
        <v>0</v>
      </c>
      <c r="N493" s="48">
        <f t="shared" si="56"/>
        <v>299.8</v>
      </c>
      <c r="O493" s="48">
        <f t="shared" si="60"/>
        <v>0</v>
      </c>
      <c r="P493" s="48">
        <f t="shared" si="61"/>
        <v>299.8</v>
      </c>
      <c r="Q493" s="48">
        <f t="shared" si="62"/>
        <v>28.5</v>
      </c>
      <c r="R493" s="5" t="s">
        <v>682</v>
      </c>
      <c r="S493" s="5" t="s">
        <v>683</v>
      </c>
      <c r="V493" s="44">
        <f t="shared" si="63"/>
        <v>299.8</v>
      </c>
    </row>
    <row r="494" spans="1:22" x14ac:dyDescent="0.2">
      <c r="A494" s="53" t="s">
        <v>745</v>
      </c>
      <c r="B494" s="1" t="s">
        <v>746</v>
      </c>
      <c r="C494" s="5" t="s">
        <v>360</v>
      </c>
      <c r="E494" s="47">
        <v>9.49</v>
      </c>
      <c r="F494" s="47">
        <v>10.36</v>
      </c>
      <c r="G494" s="47">
        <f t="shared" si="57"/>
        <v>19.850000000000001</v>
      </c>
      <c r="H494" s="47">
        <v>179.9</v>
      </c>
      <c r="I494" s="16">
        <f t="shared" si="58"/>
        <v>9.0629722921914357</v>
      </c>
      <c r="J494" s="5">
        <f t="shared" si="59"/>
        <v>2</v>
      </c>
      <c r="K494" s="5">
        <v>0</v>
      </c>
      <c r="L494" s="5">
        <v>2</v>
      </c>
      <c r="M494" s="5">
        <v>0</v>
      </c>
      <c r="N494" s="48">
        <f t="shared" si="56"/>
        <v>359.8</v>
      </c>
      <c r="O494" s="48">
        <f t="shared" si="60"/>
        <v>0</v>
      </c>
      <c r="P494" s="48">
        <f t="shared" si="61"/>
        <v>359.8</v>
      </c>
      <c r="Q494" s="48">
        <f t="shared" si="62"/>
        <v>39.700000000000003</v>
      </c>
      <c r="R494" s="5" t="s">
        <v>682</v>
      </c>
      <c r="S494" s="5" t="s">
        <v>683</v>
      </c>
      <c r="V494" s="44">
        <f t="shared" si="63"/>
        <v>359.8</v>
      </c>
    </row>
    <row r="495" spans="1:22" x14ac:dyDescent="0.2">
      <c r="A495" s="53" t="s">
        <v>747</v>
      </c>
      <c r="B495" s="1" t="s">
        <v>748</v>
      </c>
      <c r="C495" s="5" t="s">
        <v>360</v>
      </c>
      <c r="E495" s="47">
        <v>9.1999999999999993</v>
      </c>
      <c r="F495" s="47">
        <v>10.23</v>
      </c>
      <c r="G495" s="47">
        <f t="shared" si="57"/>
        <v>19.43</v>
      </c>
      <c r="H495" s="47">
        <v>169.9</v>
      </c>
      <c r="I495" s="16">
        <f t="shared" si="58"/>
        <v>8.7442099845599586</v>
      </c>
      <c r="J495" s="5">
        <f t="shared" si="59"/>
        <v>3</v>
      </c>
      <c r="K495" s="5">
        <v>0</v>
      </c>
      <c r="L495" s="5">
        <v>3</v>
      </c>
      <c r="M495" s="5">
        <v>0</v>
      </c>
      <c r="N495" s="48">
        <f t="shared" si="56"/>
        <v>509.70000000000005</v>
      </c>
      <c r="O495" s="48">
        <f t="shared" si="60"/>
        <v>0</v>
      </c>
      <c r="P495" s="48">
        <f t="shared" si="61"/>
        <v>509.70000000000005</v>
      </c>
      <c r="Q495" s="48">
        <f t="shared" si="62"/>
        <v>58.29</v>
      </c>
      <c r="R495" s="5" t="s">
        <v>682</v>
      </c>
      <c r="S495" s="5" t="s">
        <v>683</v>
      </c>
      <c r="V495" s="44">
        <f t="shared" si="63"/>
        <v>509.70000000000005</v>
      </c>
    </row>
    <row r="496" spans="1:22" x14ac:dyDescent="0.2">
      <c r="A496" s="53" t="s">
        <v>749</v>
      </c>
      <c r="B496" s="1" t="s">
        <v>750</v>
      </c>
      <c r="C496" s="5" t="s">
        <v>360</v>
      </c>
      <c r="E496" s="47">
        <v>5.75</v>
      </c>
      <c r="F496" s="47">
        <v>8.81</v>
      </c>
      <c r="G496" s="47">
        <f t="shared" si="57"/>
        <v>14.56</v>
      </c>
      <c r="H496" s="47">
        <v>139.9</v>
      </c>
      <c r="I496" s="16">
        <f t="shared" si="58"/>
        <v>9.6085164835164836</v>
      </c>
      <c r="J496" s="5">
        <f t="shared" si="59"/>
        <v>2</v>
      </c>
      <c r="K496" s="5">
        <v>0</v>
      </c>
      <c r="L496" s="5">
        <v>2</v>
      </c>
      <c r="M496" s="5">
        <v>0</v>
      </c>
      <c r="N496" s="48">
        <f t="shared" si="56"/>
        <v>279.8</v>
      </c>
      <c r="O496" s="48">
        <f t="shared" si="60"/>
        <v>0</v>
      </c>
      <c r="P496" s="48">
        <f t="shared" si="61"/>
        <v>279.8</v>
      </c>
      <c r="Q496" s="48">
        <f t="shared" si="62"/>
        <v>29.12</v>
      </c>
      <c r="R496" s="5" t="s">
        <v>682</v>
      </c>
      <c r="S496" s="5" t="s">
        <v>683</v>
      </c>
      <c r="V496" s="44">
        <f t="shared" si="63"/>
        <v>279.8</v>
      </c>
    </row>
    <row r="497" spans="1:22" x14ac:dyDescent="0.2">
      <c r="A497" s="53" t="s">
        <v>751</v>
      </c>
      <c r="B497" s="1" t="s">
        <v>752</v>
      </c>
      <c r="C497" s="5" t="s">
        <v>360</v>
      </c>
      <c r="E497" s="47">
        <v>5.75</v>
      </c>
      <c r="F497" s="47">
        <v>8.81</v>
      </c>
      <c r="G497" s="47">
        <f t="shared" si="57"/>
        <v>14.56</v>
      </c>
      <c r="H497" s="47">
        <v>139.9</v>
      </c>
      <c r="I497" s="16">
        <f t="shared" si="58"/>
        <v>9.6085164835164836</v>
      </c>
      <c r="J497" s="5">
        <f t="shared" si="59"/>
        <v>1</v>
      </c>
      <c r="K497" s="5">
        <v>0</v>
      </c>
      <c r="L497" s="5">
        <v>1</v>
      </c>
      <c r="M497" s="5">
        <v>0</v>
      </c>
      <c r="N497" s="48">
        <f t="shared" si="56"/>
        <v>139.9</v>
      </c>
      <c r="O497" s="48">
        <f t="shared" si="60"/>
        <v>0</v>
      </c>
      <c r="P497" s="48">
        <f t="shared" si="61"/>
        <v>139.9</v>
      </c>
      <c r="Q497" s="48">
        <f t="shared" si="62"/>
        <v>14.56</v>
      </c>
      <c r="R497" s="5" t="s">
        <v>682</v>
      </c>
      <c r="S497" s="5" t="s">
        <v>683</v>
      </c>
      <c r="V497" s="44">
        <f t="shared" si="63"/>
        <v>139.9</v>
      </c>
    </row>
    <row r="498" spans="1:22" x14ac:dyDescent="0.2">
      <c r="A498" s="53" t="s">
        <v>753</v>
      </c>
      <c r="B498" s="1" t="s">
        <v>754</v>
      </c>
      <c r="C498" s="5" t="s">
        <v>759</v>
      </c>
      <c r="E498" s="47">
        <v>12.08</v>
      </c>
      <c r="F498" s="47">
        <v>18.46</v>
      </c>
      <c r="G498" s="47">
        <f t="shared" si="57"/>
        <v>30.54</v>
      </c>
      <c r="H498" s="47">
        <v>179.9</v>
      </c>
      <c r="I498" s="16">
        <f t="shared" si="58"/>
        <v>5.8906352324819915</v>
      </c>
      <c r="J498" s="5">
        <f t="shared" si="59"/>
        <v>1</v>
      </c>
      <c r="K498" s="5">
        <v>0</v>
      </c>
      <c r="L498" s="5">
        <v>1</v>
      </c>
      <c r="M498" s="5">
        <v>0</v>
      </c>
      <c r="N498" s="48">
        <f t="shared" si="56"/>
        <v>179.9</v>
      </c>
      <c r="O498" s="48">
        <f t="shared" si="60"/>
        <v>0</v>
      </c>
      <c r="P498" s="48">
        <f t="shared" si="61"/>
        <v>179.9</v>
      </c>
      <c r="Q498" s="48">
        <f t="shared" si="62"/>
        <v>30.54</v>
      </c>
      <c r="R498" s="5" t="s">
        <v>682</v>
      </c>
      <c r="S498" s="5" t="s">
        <v>683</v>
      </c>
      <c r="V498" s="44">
        <f t="shared" si="63"/>
        <v>179.9</v>
      </c>
    </row>
    <row r="499" spans="1:22" x14ac:dyDescent="0.2">
      <c r="A499" s="53" t="s">
        <v>755</v>
      </c>
      <c r="B499" s="1" t="s">
        <v>756</v>
      </c>
      <c r="C499" s="5" t="s">
        <v>360</v>
      </c>
      <c r="E499" s="47">
        <v>5.55</v>
      </c>
      <c r="F499" s="47">
        <v>9.36</v>
      </c>
      <c r="G499" s="47">
        <f t="shared" si="57"/>
        <v>14.91</v>
      </c>
      <c r="H499" s="47">
        <v>149.9</v>
      </c>
      <c r="I499" s="16">
        <f t="shared" si="58"/>
        <v>10.05365526492287</v>
      </c>
      <c r="J499" s="5">
        <f t="shared" si="59"/>
        <v>3</v>
      </c>
      <c r="K499" s="5">
        <v>0</v>
      </c>
      <c r="L499" s="5">
        <v>3</v>
      </c>
      <c r="M499" s="5">
        <v>0</v>
      </c>
      <c r="N499" s="48">
        <f t="shared" si="56"/>
        <v>449.70000000000005</v>
      </c>
      <c r="O499" s="48">
        <f t="shared" si="60"/>
        <v>0</v>
      </c>
      <c r="P499" s="48">
        <f t="shared" si="61"/>
        <v>449.70000000000005</v>
      </c>
      <c r="Q499" s="48">
        <f t="shared" si="62"/>
        <v>44.730000000000004</v>
      </c>
      <c r="R499" s="5" t="s">
        <v>682</v>
      </c>
      <c r="S499" s="5" t="s">
        <v>683</v>
      </c>
      <c r="V499" s="44">
        <f t="shared" si="63"/>
        <v>449.70000000000005</v>
      </c>
    </row>
    <row r="500" spans="1:22" x14ac:dyDescent="0.2">
      <c r="A500" s="53" t="s">
        <v>757</v>
      </c>
      <c r="B500" s="1" t="s">
        <v>758</v>
      </c>
      <c r="C500" s="5" t="s">
        <v>360</v>
      </c>
      <c r="E500" s="47">
        <v>4.8</v>
      </c>
      <c r="F500" s="47">
        <v>9.1</v>
      </c>
      <c r="G500" s="47">
        <f t="shared" si="57"/>
        <v>13.899999999999999</v>
      </c>
      <c r="H500" s="47">
        <v>139.9</v>
      </c>
      <c r="I500" s="16">
        <f t="shared" si="58"/>
        <v>10.064748201438851</v>
      </c>
      <c r="J500" s="5">
        <f t="shared" si="59"/>
        <v>3</v>
      </c>
      <c r="K500" s="5">
        <v>0</v>
      </c>
      <c r="L500" s="5">
        <v>3</v>
      </c>
      <c r="M500" s="5">
        <v>0</v>
      </c>
      <c r="N500" s="48">
        <f t="shared" si="56"/>
        <v>419.70000000000005</v>
      </c>
      <c r="O500" s="48">
        <f t="shared" si="60"/>
        <v>0</v>
      </c>
      <c r="P500" s="48">
        <f t="shared" si="61"/>
        <v>419.70000000000005</v>
      </c>
      <c r="Q500" s="48">
        <f t="shared" si="62"/>
        <v>41.699999999999996</v>
      </c>
      <c r="R500" s="5" t="s">
        <v>682</v>
      </c>
      <c r="S500" s="5" t="s">
        <v>683</v>
      </c>
      <c r="V500" s="44">
        <f t="shared" si="63"/>
        <v>419.70000000000005</v>
      </c>
    </row>
    <row r="501" spans="1:22" x14ac:dyDescent="0.2">
      <c r="G501" s="47">
        <f t="shared" si="57"/>
        <v>0</v>
      </c>
      <c r="I501" s="16" t="str">
        <f t="shared" si="58"/>
        <v>SEM INFORMAÇÃO DE CUSTOS</v>
      </c>
      <c r="J501" s="5">
        <f t="shared" si="59"/>
        <v>0</v>
      </c>
      <c r="K501" s="5">
        <v>0</v>
      </c>
      <c r="L501" s="5">
        <v>0</v>
      </c>
      <c r="M501" s="5">
        <v>0</v>
      </c>
      <c r="N501" s="48">
        <f t="shared" si="56"/>
        <v>0</v>
      </c>
      <c r="O501" s="48">
        <f t="shared" si="60"/>
        <v>0</v>
      </c>
      <c r="P501" s="48">
        <f t="shared" si="61"/>
        <v>0</v>
      </c>
      <c r="Q501" s="48">
        <f t="shared" si="62"/>
        <v>0</v>
      </c>
      <c r="R501" s="5" t="s">
        <v>682</v>
      </c>
      <c r="S501" s="5" t="s">
        <v>683</v>
      </c>
      <c r="V501" s="44">
        <f t="shared" si="63"/>
        <v>0</v>
      </c>
    </row>
    <row r="502" spans="1:22" x14ac:dyDescent="0.2">
      <c r="G502" s="47">
        <f t="shared" si="57"/>
        <v>0</v>
      </c>
      <c r="I502" s="16" t="str">
        <f t="shared" si="58"/>
        <v>SEM INFORMAÇÃO DE CUSTOS</v>
      </c>
      <c r="J502" s="5">
        <f t="shared" si="59"/>
        <v>0</v>
      </c>
      <c r="K502" s="5">
        <v>0</v>
      </c>
      <c r="L502" s="5">
        <v>0</v>
      </c>
      <c r="M502" s="5">
        <v>0</v>
      </c>
      <c r="N502" s="48">
        <f t="shared" si="56"/>
        <v>0</v>
      </c>
      <c r="O502" s="48">
        <f t="shared" si="60"/>
        <v>0</v>
      </c>
      <c r="P502" s="48">
        <f t="shared" si="61"/>
        <v>0</v>
      </c>
      <c r="Q502" s="48">
        <f t="shared" si="62"/>
        <v>0</v>
      </c>
      <c r="R502" s="5" t="s">
        <v>682</v>
      </c>
      <c r="S502" s="5" t="s">
        <v>683</v>
      </c>
      <c r="V502" s="44">
        <f t="shared" si="63"/>
        <v>0</v>
      </c>
    </row>
    <row r="503" spans="1:22" x14ac:dyDescent="0.2">
      <c r="G503" s="47">
        <f t="shared" si="57"/>
        <v>0</v>
      </c>
      <c r="I503" s="16" t="str">
        <f t="shared" si="58"/>
        <v>SEM INFORMAÇÃO DE CUSTOS</v>
      </c>
      <c r="J503" s="5">
        <f t="shared" si="59"/>
        <v>0</v>
      </c>
      <c r="K503" s="5">
        <v>0</v>
      </c>
      <c r="L503" s="5">
        <v>0</v>
      </c>
      <c r="M503" s="5">
        <v>0</v>
      </c>
      <c r="N503" s="48">
        <f t="shared" si="56"/>
        <v>0</v>
      </c>
      <c r="O503" s="48">
        <f t="shared" si="60"/>
        <v>0</v>
      </c>
      <c r="P503" s="48">
        <f t="shared" si="61"/>
        <v>0</v>
      </c>
      <c r="Q503" s="48">
        <f t="shared" si="62"/>
        <v>0</v>
      </c>
      <c r="R503" s="5" t="s">
        <v>682</v>
      </c>
      <c r="S503" s="5" t="s">
        <v>683</v>
      </c>
      <c r="V503" s="44">
        <f t="shared" si="63"/>
        <v>0</v>
      </c>
    </row>
    <row r="504" spans="1:22" x14ac:dyDescent="0.2">
      <c r="G504" s="47">
        <f t="shared" si="57"/>
        <v>0</v>
      </c>
      <c r="I504" s="16" t="str">
        <f t="shared" si="58"/>
        <v>SEM INFORMAÇÃO DE CUSTOS</v>
      </c>
      <c r="J504" s="5">
        <f t="shared" si="59"/>
        <v>0</v>
      </c>
      <c r="K504" s="5">
        <v>0</v>
      </c>
      <c r="L504" s="5">
        <v>0</v>
      </c>
      <c r="M504" s="5">
        <v>0</v>
      </c>
      <c r="N504" s="48">
        <f t="shared" si="56"/>
        <v>0</v>
      </c>
      <c r="O504" s="48">
        <f t="shared" si="60"/>
        <v>0</v>
      </c>
      <c r="P504" s="48">
        <f t="shared" si="61"/>
        <v>0</v>
      </c>
      <c r="Q504" s="48">
        <f t="shared" si="62"/>
        <v>0</v>
      </c>
      <c r="R504" s="5" t="s">
        <v>682</v>
      </c>
      <c r="S504" s="5" t="s">
        <v>683</v>
      </c>
      <c r="V504" s="44">
        <f t="shared" si="63"/>
        <v>0</v>
      </c>
    </row>
    <row r="505" spans="1:22" x14ac:dyDescent="0.2">
      <c r="G505" s="47">
        <f t="shared" si="57"/>
        <v>0</v>
      </c>
      <c r="I505" s="16" t="str">
        <f t="shared" si="58"/>
        <v>SEM INFORMAÇÃO DE CUSTOS</v>
      </c>
      <c r="J505" s="5">
        <f t="shared" si="59"/>
        <v>0</v>
      </c>
      <c r="K505" s="5">
        <v>0</v>
      </c>
      <c r="L505" s="5">
        <v>0</v>
      </c>
      <c r="M505" s="5">
        <v>0</v>
      </c>
      <c r="N505" s="48">
        <f t="shared" si="56"/>
        <v>0</v>
      </c>
      <c r="O505" s="48">
        <f t="shared" si="60"/>
        <v>0</v>
      </c>
      <c r="P505" s="48">
        <f t="shared" si="61"/>
        <v>0</v>
      </c>
      <c r="Q505" s="48">
        <f t="shared" si="62"/>
        <v>0</v>
      </c>
      <c r="R505" s="5" t="s">
        <v>682</v>
      </c>
      <c r="S505" s="5" t="s">
        <v>683</v>
      </c>
      <c r="V505" s="44">
        <f t="shared" si="63"/>
        <v>0</v>
      </c>
    </row>
    <row r="506" spans="1:22" x14ac:dyDescent="0.2">
      <c r="G506" s="47">
        <f t="shared" si="57"/>
        <v>0</v>
      </c>
      <c r="I506" s="16" t="str">
        <f t="shared" si="58"/>
        <v>SEM INFORMAÇÃO DE CUSTOS</v>
      </c>
      <c r="J506" s="5">
        <f t="shared" si="59"/>
        <v>0</v>
      </c>
      <c r="K506" s="5">
        <v>0</v>
      </c>
      <c r="L506" s="5">
        <v>0</v>
      </c>
      <c r="M506" s="5">
        <v>0</v>
      </c>
      <c r="N506" s="48">
        <f t="shared" si="56"/>
        <v>0</v>
      </c>
      <c r="O506" s="48">
        <f t="shared" si="60"/>
        <v>0</v>
      </c>
      <c r="P506" s="48">
        <f t="shared" si="61"/>
        <v>0</v>
      </c>
      <c r="Q506" s="48">
        <f t="shared" si="62"/>
        <v>0</v>
      </c>
      <c r="R506" s="5" t="s">
        <v>682</v>
      </c>
      <c r="S506" s="5" t="s">
        <v>683</v>
      </c>
      <c r="V506" s="44">
        <f t="shared" si="63"/>
        <v>0</v>
      </c>
    </row>
    <row r="507" spans="1:22" x14ac:dyDescent="0.2">
      <c r="G507" s="47">
        <f t="shared" si="57"/>
        <v>0</v>
      </c>
      <c r="I507" s="16" t="str">
        <f t="shared" si="58"/>
        <v>SEM INFORMAÇÃO DE CUSTOS</v>
      </c>
      <c r="J507" s="5">
        <f t="shared" si="59"/>
        <v>0</v>
      </c>
      <c r="K507" s="5">
        <v>0</v>
      </c>
      <c r="L507" s="5">
        <v>0</v>
      </c>
      <c r="M507" s="5">
        <v>0</v>
      </c>
      <c r="N507" s="48">
        <f t="shared" si="56"/>
        <v>0</v>
      </c>
      <c r="O507" s="48">
        <f t="shared" si="60"/>
        <v>0</v>
      </c>
      <c r="P507" s="48">
        <f t="shared" si="61"/>
        <v>0</v>
      </c>
      <c r="Q507" s="48">
        <f t="shared" si="62"/>
        <v>0</v>
      </c>
      <c r="R507" s="5" t="s">
        <v>682</v>
      </c>
      <c r="S507" s="5" t="s">
        <v>683</v>
      </c>
      <c r="V507" s="44">
        <f t="shared" si="6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9BA2-3526-499D-84E0-DD1EE06C20C2}">
  <sheetPr codeName="Folha8"/>
  <dimension ref="A1:Z7"/>
  <sheetViews>
    <sheetView workbookViewId="0">
      <selection activeCell="Z1" sqref="Z1"/>
    </sheetView>
  </sheetViews>
  <sheetFormatPr defaultColWidth="48" defaultRowHeight="15" x14ac:dyDescent="0.25"/>
  <cols>
    <col min="1" max="1" width="2.5703125" style="61" bestFit="1" customWidth="1"/>
    <col min="2" max="2" width="17.5703125" style="61" bestFit="1" customWidth="1"/>
    <col min="3" max="3" width="9.140625" style="61" bestFit="1" customWidth="1"/>
    <col min="4" max="4" width="9.28515625" style="61" bestFit="1" customWidth="1"/>
    <col min="5" max="5" width="12.28515625" style="61" bestFit="1" customWidth="1"/>
    <col min="6" max="6" width="12.28515625" style="57" bestFit="1" customWidth="1"/>
    <col min="7" max="7" width="12.5703125" style="57" bestFit="1" customWidth="1"/>
    <col min="8" max="8" width="11.7109375" style="57" bestFit="1" customWidth="1"/>
    <col min="9" max="9" width="12.140625" style="57" bestFit="1" customWidth="1"/>
    <col min="10" max="10" width="15.7109375" style="61" bestFit="1" customWidth="1"/>
    <col min="11" max="11" width="12.85546875" style="61" bestFit="1" customWidth="1"/>
    <col min="12" max="12" width="18" style="61" bestFit="1" customWidth="1"/>
    <col min="13" max="13" width="17" style="61" bestFit="1" customWidth="1"/>
    <col min="14" max="14" width="14.5703125" style="61" bestFit="1" customWidth="1"/>
    <col min="15" max="15" width="21.7109375" style="57" bestFit="1" customWidth="1"/>
    <col min="16" max="16" width="21.5703125" style="57" bestFit="1" customWidth="1"/>
    <col min="17" max="17" width="30.28515625" style="57" bestFit="1" customWidth="1"/>
    <col min="18" max="18" width="22.140625" style="57" bestFit="1" customWidth="1"/>
    <col min="19" max="19" width="28.140625" style="57" bestFit="1" customWidth="1"/>
    <col min="20" max="20" width="6.5703125" style="61" bestFit="1" customWidth="1"/>
    <col min="21" max="21" width="6.28515625" style="61" bestFit="1" customWidth="1"/>
    <col min="22" max="22" width="11" style="61" bestFit="1" customWidth="1"/>
    <col min="23" max="23" width="18" style="61" bestFit="1" customWidth="1"/>
    <col min="24" max="24" width="14" style="61" bestFit="1" customWidth="1"/>
    <col min="25" max="25" width="11.28515625" style="2" bestFit="1" customWidth="1"/>
    <col min="26" max="16384" width="48" style="61"/>
  </cols>
  <sheetData>
    <row r="1" spans="1:26" s="58" customFormat="1" ht="12" x14ac:dyDescent="0.2">
      <c r="A1" s="58" t="s">
        <v>813</v>
      </c>
      <c r="B1" s="59" t="s">
        <v>814</v>
      </c>
      <c r="C1" s="59" t="s">
        <v>1</v>
      </c>
      <c r="D1" s="59" t="s">
        <v>2</v>
      </c>
      <c r="E1" s="59" t="s">
        <v>3</v>
      </c>
      <c r="F1" s="56" t="s">
        <v>690</v>
      </c>
      <c r="G1" s="56" t="s">
        <v>691</v>
      </c>
      <c r="H1" s="56" t="s">
        <v>692</v>
      </c>
      <c r="I1" s="56" t="s">
        <v>4</v>
      </c>
      <c r="J1" s="60" t="s">
        <v>760</v>
      </c>
      <c r="K1" s="59" t="s">
        <v>689</v>
      </c>
      <c r="L1" s="59" t="s">
        <v>762</v>
      </c>
      <c r="M1" s="59" t="s">
        <v>761</v>
      </c>
      <c r="N1" s="59" t="s">
        <v>686</v>
      </c>
      <c r="O1" s="56" t="s">
        <v>32</v>
      </c>
      <c r="P1" s="56" t="s">
        <v>809</v>
      </c>
      <c r="Q1" s="56" t="s">
        <v>811</v>
      </c>
      <c r="R1" s="56" t="s">
        <v>810</v>
      </c>
      <c r="S1" s="56" t="s">
        <v>817</v>
      </c>
      <c r="T1" s="59" t="s">
        <v>5</v>
      </c>
      <c r="U1" s="59" t="s">
        <v>6</v>
      </c>
      <c r="V1" s="59" t="s">
        <v>693</v>
      </c>
      <c r="W1" s="59" t="s">
        <v>31</v>
      </c>
      <c r="X1" s="58" t="s">
        <v>812</v>
      </c>
      <c r="Y1" s="7" t="s">
        <v>845</v>
      </c>
      <c r="Z1" s="58" t="s">
        <v>18</v>
      </c>
    </row>
    <row r="2" spans="1:26" x14ac:dyDescent="0.25">
      <c r="X2" s="62"/>
    </row>
    <row r="4" spans="1:26" x14ac:dyDescent="0.25">
      <c r="X4" s="62"/>
    </row>
    <row r="5" spans="1:26" x14ac:dyDescent="0.25">
      <c r="X5" s="62"/>
    </row>
    <row r="6" spans="1:26" x14ac:dyDescent="0.25">
      <c r="X6" s="62"/>
    </row>
    <row r="7" spans="1:26" x14ac:dyDescent="0.25">
      <c r="X7" s="6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774C6-FC1A-4CAD-883E-5C5112596262}">
  <sheetPr codeName="Folha9"/>
  <dimension ref="A1:Y8"/>
  <sheetViews>
    <sheetView tabSelected="1" workbookViewId="0">
      <selection activeCell="Y1" sqref="Y1"/>
    </sheetView>
  </sheetViews>
  <sheetFormatPr defaultColWidth="20.85546875" defaultRowHeight="12" x14ac:dyDescent="0.25"/>
  <cols>
    <col min="1" max="1" width="4" style="2" bestFit="1" customWidth="1"/>
    <col min="2" max="2" width="6.85546875" style="2" bestFit="1" customWidth="1"/>
    <col min="3" max="3" width="21.42578125" style="2" bestFit="1" customWidth="1"/>
    <col min="4" max="4" width="9.28515625" style="2" bestFit="1" customWidth="1"/>
    <col min="5" max="5" width="12.28515625" style="2" bestFit="1" customWidth="1"/>
    <col min="6" max="6" width="17" style="42" bestFit="1" customWidth="1"/>
    <col min="7" max="7" width="18" style="42" bestFit="1" customWidth="1"/>
    <col min="8" max="8" width="12.85546875" style="42" bestFit="1" customWidth="1"/>
    <col min="9" max="9" width="9.5703125" style="2" bestFit="1" customWidth="1"/>
    <col min="10" max="10" width="11" style="2" bestFit="1" customWidth="1"/>
    <col min="11" max="11" width="18" style="2" bestFit="1" customWidth="1"/>
    <col min="12" max="12" width="16.7109375" style="2" bestFit="1" customWidth="1"/>
    <col min="13" max="13" width="17.42578125" style="2" bestFit="1" customWidth="1"/>
    <col min="14" max="14" width="13.42578125" style="2" bestFit="1" customWidth="1"/>
    <col min="15" max="15" width="20.7109375" style="2" bestFit="1" customWidth="1"/>
    <col min="16" max="16" width="10.85546875" style="2" bestFit="1" customWidth="1"/>
    <col min="17" max="17" width="11.28515625" style="2" bestFit="1" customWidth="1"/>
    <col min="18" max="18" width="17.42578125" style="2" bestFit="1" customWidth="1"/>
    <col min="19" max="19" width="20" style="2" bestFit="1" customWidth="1"/>
    <col min="20" max="20" width="20.140625" style="65" bestFit="1" customWidth="1"/>
    <col min="21" max="21" width="20.140625" style="2" bestFit="1" customWidth="1"/>
    <col min="22" max="22" width="20.5703125" style="2" bestFit="1" customWidth="1"/>
    <col min="23" max="23" width="25.28515625" style="72" bestFit="1" customWidth="1"/>
    <col min="24" max="24" width="13.7109375" style="2" bestFit="1" customWidth="1"/>
    <col min="25" max="16384" width="20.85546875" style="2"/>
  </cols>
  <sheetData>
    <row r="1" spans="1:25" s="6" customFormat="1" ht="24" x14ac:dyDescent="0.25">
      <c r="A1" s="6" t="s">
        <v>688</v>
      </c>
      <c r="B1" s="7" t="s">
        <v>0</v>
      </c>
      <c r="C1" s="7" t="s">
        <v>1</v>
      </c>
      <c r="D1" s="7" t="s">
        <v>2</v>
      </c>
      <c r="E1" s="7" t="s">
        <v>3</v>
      </c>
      <c r="F1" s="39" t="s">
        <v>761</v>
      </c>
      <c r="G1" s="39" t="s">
        <v>762</v>
      </c>
      <c r="H1" s="66" t="s">
        <v>689</v>
      </c>
      <c r="I1" s="7" t="s">
        <v>6</v>
      </c>
      <c r="J1" s="7" t="s">
        <v>693</v>
      </c>
      <c r="K1" s="7" t="s">
        <v>31</v>
      </c>
      <c r="L1" s="6" t="s">
        <v>684</v>
      </c>
      <c r="M1" s="7" t="s">
        <v>16</v>
      </c>
      <c r="N1" s="63" t="s">
        <v>802</v>
      </c>
      <c r="O1" s="6" t="s">
        <v>28</v>
      </c>
      <c r="P1" s="6" t="s">
        <v>15</v>
      </c>
      <c r="Q1" s="7" t="s">
        <v>18</v>
      </c>
      <c r="R1" s="7" t="s">
        <v>17</v>
      </c>
      <c r="S1" s="7" t="s">
        <v>803</v>
      </c>
      <c r="T1" s="64" t="s">
        <v>827</v>
      </c>
      <c r="U1" s="7" t="s">
        <v>826</v>
      </c>
      <c r="V1" s="7" t="s">
        <v>818</v>
      </c>
      <c r="W1" s="71" t="s">
        <v>694</v>
      </c>
      <c r="X1" s="6" t="s">
        <v>13</v>
      </c>
      <c r="Y1" s="6" t="s">
        <v>19</v>
      </c>
    </row>
    <row r="2" spans="1:25" x14ac:dyDescent="0.2">
      <c r="A2" s="2">
        <v>1</v>
      </c>
      <c r="B2" s="1">
        <v>1005787</v>
      </c>
      <c r="C2" s="1" t="s">
        <v>33</v>
      </c>
      <c r="D2" s="2" t="s">
        <v>49</v>
      </c>
      <c r="F2" s="40">
        <v>5</v>
      </c>
      <c r="G2" s="40">
        <v>0</v>
      </c>
      <c r="H2" s="40">
        <v>5</v>
      </c>
      <c r="I2" s="2" t="s">
        <v>683</v>
      </c>
      <c r="L2" s="2" t="s">
        <v>824</v>
      </c>
      <c r="M2" s="2" t="s">
        <v>761</v>
      </c>
      <c r="O2" s="2" t="s">
        <v>840</v>
      </c>
      <c r="P2" s="2">
        <v>5</v>
      </c>
      <c r="Q2" s="2" t="s">
        <v>796</v>
      </c>
      <c r="R2" s="2" t="s">
        <v>843</v>
      </c>
      <c r="T2" s="65">
        <v>0</v>
      </c>
      <c r="U2" s="2">
        <v>0</v>
      </c>
      <c r="V2" s="2">
        <v>0</v>
      </c>
      <c r="W2" s="72">
        <v>46154.026956018519</v>
      </c>
      <c r="X2" s="54"/>
    </row>
    <row r="3" spans="1:25" x14ac:dyDescent="0.2">
      <c r="A3" s="2">
        <v>2</v>
      </c>
      <c r="B3" s="1">
        <v>1005787</v>
      </c>
      <c r="C3" s="1" t="s">
        <v>33</v>
      </c>
      <c r="D3" s="2" t="s">
        <v>49</v>
      </c>
      <c r="F3" s="40">
        <v>0</v>
      </c>
      <c r="G3" s="40">
        <v>0</v>
      </c>
      <c r="H3" s="40">
        <v>0</v>
      </c>
      <c r="I3" s="2" t="s">
        <v>683</v>
      </c>
      <c r="L3" s="2" t="s">
        <v>794</v>
      </c>
      <c r="M3" s="2" t="s">
        <v>693</v>
      </c>
      <c r="O3" s="2" t="s">
        <v>795</v>
      </c>
      <c r="P3" s="2">
        <v>5</v>
      </c>
      <c r="Q3" s="2" t="s">
        <v>796</v>
      </c>
      <c r="R3" s="2" t="s">
        <v>761</v>
      </c>
      <c r="T3" s="65">
        <v>0</v>
      </c>
      <c r="U3" s="2">
        <v>5</v>
      </c>
      <c r="V3" s="2">
        <v>5</v>
      </c>
      <c r="W3" s="72">
        <v>46154.686620370368</v>
      </c>
    </row>
    <row r="4" spans="1:25" x14ac:dyDescent="0.2">
      <c r="F4" s="41"/>
      <c r="G4" s="41"/>
      <c r="H4" s="40"/>
    </row>
    <row r="5" spans="1:25" x14ac:dyDescent="0.2">
      <c r="F5" s="41"/>
      <c r="G5" s="41"/>
      <c r="H5" s="40"/>
    </row>
    <row r="6" spans="1:25" x14ac:dyDescent="0.2">
      <c r="F6" s="41"/>
      <c r="G6" s="41"/>
      <c r="H6" s="40"/>
    </row>
    <row r="7" spans="1:25" x14ac:dyDescent="0.2">
      <c r="F7" s="41"/>
      <c r="G7" s="41"/>
      <c r="H7" s="40"/>
    </row>
    <row r="8" spans="1:25" x14ac:dyDescent="0.25">
      <c r="F8" s="41"/>
      <c r="G8" s="41"/>
      <c r="H8" s="4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6F47-5034-4DDF-8C11-AFA8AC5FA2DC}">
  <sheetPr codeName="Folha2"/>
  <dimension ref="A1:N2"/>
  <sheetViews>
    <sheetView workbookViewId="0">
      <selection activeCell="I35" sqref="I35"/>
    </sheetView>
  </sheetViews>
  <sheetFormatPr defaultColWidth="10" defaultRowHeight="12" x14ac:dyDescent="0.2"/>
  <cols>
    <col min="1" max="1" width="6.85546875" style="76" bestFit="1" customWidth="1"/>
    <col min="2" max="2" width="9.5703125" style="4" bestFit="1" customWidth="1"/>
    <col min="3" max="3" width="22" style="4" bestFit="1" customWidth="1"/>
    <col min="4" max="4" width="10.42578125" style="4" bestFit="1" customWidth="1"/>
    <col min="5" max="5" width="23.85546875" style="4" bestFit="1" customWidth="1"/>
    <col min="6" max="6" width="10.42578125" style="4" bestFit="1" customWidth="1"/>
    <col min="7" max="7" width="13.7109375" style="4" bestFit="1" customWidth="1"/>
    <col min="8" max="8" width="7.7109375" style="4" bestFit="1" customWidth="1"/>
    <col min="9" max="9" width="8" style="4" bestFit="1" customWidth="1"/>
    <col min="10" max="10" width="10.85546875" style="4" bestFit="1" customWidth="1"/>
    <col min="11" max="11" width="6.85546875" style="4" bestFit="1" customWidth="1"/>
    <col min="12" max="12" width="7.85546875" style="4" bestFit="1" customWidth="1"/>
    <col min="13" max="13" width="13.85546875" style="4" bestFit="1" customWidth="1"/>
    <col min="14" max="14" width="6.5703125" style="4" bestFit="1" customWidth="1"/>
    <col min="15" max="16384" width="10" style="4"/>
  </cols>
  <sheetData>
    <row r="1" spans="1:14" s="8" customFormat="1" x14ac:dyDescent="0.2">
      <c r="A1" s="75" t="s">
        <v>23</v>
      </c>
      <c r="B1" s="8" t="s">
        <v>11</v>
      </c>
      <c r="C1" s="8" t="s">
        <v>7</v>
      </c>
      <c r="D1" s="8" t="s">
        <v>8</v>
      </c>
      <c r="E1" s="8" t="s">
        <v>24</v>
      </c>
      <c r="F1" s="8" t="s">
        <v>25</v>
      </c>
      <c r="G1" s="8" t="s">
        <v>851</v>
      </c>
      <c r="H1" s="8" t="s">
        <v>850</v>
      </c>
      <c r="I1" s="8" t="s">
        <v>10</v>
      </c>
      <c r="J1" s="8" t="s">
        <v>9</v>
      </c>
      <c r="K1" s="8" t="s">
        <v>26</v>
      </c>
      <c r="L1" s="8" t="s">
        <v>27</v>
      </c>
      <c r="M1" s="8" t="s">
        <v>12</v>
      </c>
      <c r="N1" s="8" t="s">
        <v>5</v>
      </c>
    </row>
    <row r="2" spans="1:14" ht="15" x14ac:dyDescent="0.25">
      <c r="A2" s="76" t="s">
        <v>861</v>
      </c>
      <c r="B2" s="4">
        <v>7816373929</v>
      </c>
      <c r="C2" s="4" t="s">
        <v>852</v>
      </c>
      <c r="D2" s="4">
        <v>47996226075</v>
      </c>
      <c r="E2" s="77" t="s">
        <v>853</v>
      </c>
      <c r="F2" s="4">
        <v>47996226075</v>
      </c>
      <c r="G2" s="4" t="s">
        <v>854</v>
      </c>
      <c r="H2" s="4">
        <v>689</v>
      </c>
      <c r="I2" s="4" t="s">
        <v>855</v>
      </c>
      <c r="J2" s="4" t="s">
        <v>856</v>
      </c>
      <c r="K2" s="4" t="s">
        <v>857</v>
      </c>
      <c r="L2" s="4">
        <v>88372812</v>
      </c>
    </row>
  </sheetData>
  <hyperlinks>
    <hyperlink ref="E2" r:id="rId1" xr:uid="{A3309112-FD62-4DBA-A750-67608E6396F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D140-390D-41F0-A9C0-F4090C2B3DB1}">
  <sheetPr codeName="Folha4"/>
  <dimension ref="A1:P4"/>
  <sheetViews>
    <sheetView workbookViewId="0">
      <selection activeCell="F13" sqref="F13"/>
    </sheetView>
  </sheetViews>
  <sheetFormatPr defaultColWidth="22" defaultRowHeight="12" x14ac:dyDescent="0.2"/>
  <cols>
    <col min="1" max="1" width="11.5703125" style="9" bestFit="1" customWidth="1"/>
    <col min="2" max="2" width="5.7109375" style="9" bestFit="1" customWidth="1"/>
    <col min="3" max="3" width="10" style="9" bestFit="1" customWidth="1"/>
    <col min="4" max="4" width="17.85546875" style="9" bestFit="1" customWidth="1"/>
    <col min="5" max="5" width="18.42578125" style="9" bestFit="1" customWidth="1"/>
    <col min="6" max="7" width="20.85546875" style="9" bestFit="1" customWidth="1"/>
    <col min="8" max="8" width="10.85546875" style="9" bestFit="1" customWidth="1"/>
    <col min="9" max="9" width="11.7109375" style="9" bestFit="1" customWidth="1"/>
    <col min="10" max="10" width="5.5703125" style="9" bestFit="1" customWidth="1"/>
    <col min="11" max="11" width="15.28515625" style="9" bestFit="1" customWidth="1"/>
    <col min="12" max="12" width="13.42578125" style="9" bestFit="1" customWidth="1"/>
    <col min="13" max="13" width="7.7109375" style="9" bestFit="1" customWidth="1"/>
    <col min="14" max="16384" width="22" style="9"/>
  </cols>
  <sheetData>
    <row r="1" spans="1:16" s="6" customFormat="1" ht="23.25" customHeight="1" x14ac:dyDescent="0.25">
      <c r="A1" s="7" t="s">
        <v>19</v>
      </c>
      <c r="B1" s="7" t="s">
        <v>14</v>
      </c>
      <c r="C1" s="7" t="s">
        <v>792</v>
      </c>
      <c r="D1" s="7" t="s">
        <v>859</v>
      </c>
      <c r="E1" s="7" t="s">
        <v>698</v>
      </c>
      <c r="F1" s="7" t="s">
        <v>1</v>
      </c>
      <c r="G1" s="7" t="s">
        <v>697</v>
      </c>
      <c r="H1" s="7" t="s">
        <v>15</v>
      </c>
      <c r="I1" s="7" t="s">
        <v>4</v>
      </c>
      <c r="J1" s="7" t="s">
        <v>21</v>
      </c>
      <c r="K1" s="6" t="s">
        <v>793</v>
      </c>
      <c r="L1" s="6" t="s">
        <v>763</v>
      </c>
      <c r="M1" s="6" t="s">
        <v>825</v>
      </c>
      <c r="N1" s="6" t="s">
        <v>863</v>
      </c>
      <c r="O1" s="6" t="s">
        <v>864</v>
      </c>
      <c r="P1" s="6" t="s">
        <v>865</v>
      </c>
    </row>
    <row r="2" spans="1:16" x14ac:dyDescent="0.2">
      <c r="A2" s="9" t="s">
        <v>858</v>
      </c>
      <c r="B2" s="50">
        <v>46139</v>
      </c>
      <c r="C2" s="9">
        <v>1</v>
      </c>
      <c r="D2" s="9" t="s">
        <v>799</v>
      </c>
      <c r="E2" s="9">
        <v>1005787</v>
      </c>
      <c r="F2" s="9" t="s">
        <v>33</v>
      </c>
      <c r="G2" s="9" t="s">
        <v>49</v>
      </c>
      <c r="H2" s="9">
        <v>1</v>
      </c>
      <c r="I2" s="9">
        <v>28.9</v>
      </c>
      <c r="J2" s="9">
        <f>IFERROR(I2*H2,"")</f>
        <v>28.9</v>
      </c>
      <c r="K2" s="9" t="s">
        <v>860</v>
      </c>
      <c r="L2" s="9" t="s">
        <v>30</v>
      </c>
    </row>
    <row r="3" spans="1:16" x14ac:dyDescent="0.2">
      <c r="B3" s="50"/>
    </row>
    <row r="4" spans="1:16" x14ac:dyDescent="0.2">
      <c r="B4" s="5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C7C5-7D20-472D-9E2B-C80E5912CCE7}">
  <sheetPr codeName="Folha5"/>
  <dimension ref="A1:O3"/>
  <sheetViews>
    <sheetView workbookViewId="0">
      <selection activeCell="D11" sqref="D11"/>
    </sheetView>
  </sheetViews>
  <sheetFormatPr defaultColWidth="28.7109375" defaultRowHeight="12" x14ac:dyDescent="0.2"/>
  <cols>
    <col min="1" max="1" width="6" style="3" bestFit="1" customWidth="1"/>
    <col min="2" max="2" width="9.140625" style="3" bestFit="1" customWidth="1"/>
    <col min="3" max="3" width="14.28515625" style="3" bestFit="1" customWidth="1"/>
    <col min="4" max="4" width="5.5703125" style="3" bestFit="1" customWidth="1"/>
    <col min="5" max="5" width="7" style="3" bestFit="1" customWidth="1"/>
    <col min="6" max="6" width="20.85546875" style="3" bestFit="1" customWidth="1"/>
    <col min="7" max="7" width="9.28515625" style="3" bestFit="1" customWidth="1"/>
    <col min="8" max="8" width="10.85546875" style="3" bestFit="1" customWidth="1"/>
    <col min="9" max="9" width="8.140625" style="3" bestFit="1" customWidth="1"/>
    <col min="10" max="10" width="14.28515625" style="3" bestFit="1" customWidth="1"/>
    <col min="11" max="11" width="14.5703125" style="3" bestFit="1" customWidth="1"/>
    <col min="12" max="12" width="11.42578125" style="3" bestFit="1" customWidth="1"/>
    <col min="13" max="13" width="17" style="3" bestFit="1" customWidth="1"/>
    <col min="14" max="14" width="18.140625" style="3" bestFit="1" customWidth="1"/>
    <col min="15" max="15" width="10.85546875" style="3" bestFit="1" customWidth="1"/>
    <col min="16" max="16384" width="28.7109375" style="3"/>
  </cols>
  <sheetData>
    <row r="1" spans="1:15" s="9" customFormat="1" ht="24" x14ac:dyDescent="0.2">
      <c r="A1" s="7" t="s">
        <v>14</v>
      </c>
      <c r="B1" s="7" t="s">
        <v>685</v>
      </c>
      <c r="C1" s="7" t="s">
        <v>29</v>
      </c>
      <c r="D1" s="7" t="s">
        <v>7</v>
      </c>
      <c r="E1" s="7" t="s">
        <v>0</v>
      </c>
      <c r="F1" s="7" t="s">
        <v>1</v>
      </c>
      <c r="G1" s="7" t="s">
        <v>2</v>
      </c>
      <c r="H1" s="7" t="s">
        <v>15</v>
      </c>
      <c r="I1" s="7" t="s">
        <v>806</v>
      </c>
      <c r="J1" s="7" t="s">
        <v>764</v>
      </c>
      <c r="K1" s="7" t="s">
        <v>804</v>
      </c>
      <c r="L1" s="7" t="s">
        <v>763</v>
      </c>
      <c r="M1" s="7" t="s">
        <v>805</v>
      </c>
      <c r="N1" s="7" t="s">
        <v>687</v>
      </c>
      <c r="O1" s="7" t="s">
        <v>13</v>
      </c>
    </row>
    <row r="2" spans="1:15" x14ac:dyDescent="0.2">
      <c r="A2" s="36">
        <v>46139</v>
      </c>
      <c r="B2" s="3">
        <v>1</v>
      </c>
      <c r="C2" s="51">
        <v>1</v>
      </c>
      <c r="D2" s="51" t="s">
        <v>799</v>
      </c>
      <c r="E2" s="51">
        <v>1005787</v>
      </c>
      <c r="F2" s="51" t="s">
        <v>33</v>
      </c>
      <c r="G2" s="51" t="s">
        <v>49</v>
      </c>
      <c r="H2" s="51">
        <v>1</v>
      </c>
      <c r="I2" s="51">
        <v>28.9</v>
      </c>
      <c r="J2" s="51">
        <v>1</v>
      </c>
      <c r="K2" s="3">
        <f>J2-H2</f>
        <v>0</v>
      </c>
      <c r="L2" s="3" t="s">
        <v>807</v>
      </c>
      <c r="M2" s="51" t="s">
        <v>761</v>
      </c>
      <c r="N2" s="3" t="s">
        <v>800</v>
      </c>
    </row>
    <row r="3" spans="1:15" x14ac:dyDescent="0.2">
      <c r="A3" s="36">
        <v>46139</v>
      </c>
      <c r="B3" s="3">
        <v>1</v>
      </c>
      <c r="C3" s="51">
        <v>1</v>
      </c>
      <c r="D3" s="51" t="s">
        <v>799</v>
      </c>
      <c r="E3" s="51">
        <v>1005787</v>
      </c>
      <c r="F3" s="51" t="s">
        <v>33</v>
      </c>
      <c r="G3" s="51" t="s">
        <v>49</v>
      </c>
      <c r="H3" s="51">
        <v>1</v>
      </c>
      <c r="I3" s="51">
        <v>28.9</v>
      </c>
      <c r="J3" s="51">
        <v>0</v>
      </c>
      <c r="K3" s="3">
        <f>J3-H3</f>
        <v>-1</v>
      </c>
      <c r="L3" s="3" t="s">
        <v>808</v>
      </c>
      <c r="M3" s="51" t="s">
        <v>801</v>
      </c>
      <c r="N3" s="3" t="s">
        <v>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961C-B34A-43DF-98D4-AAEE78AECC59}">
  <sheetPr codeName="Folha6"/>
  <dimension ref="A1:L1"/>
  <sheetViews>
    <sheetView workbookViewId="0">
      <selection activeCell="K1" sqref="K1"/>
    </sheetView>
  </sheetViews>
  <sheetFormatPr defaultColWidth="21.85546875" defaultRowHeight="12" x14ac:dyDescent="0.25"/>
  <cols>
    <col min="1" max="1" width="9.140625" style="6" bestFit="1" customWidth="1"/>
    <col min="2" max="2" width="12.140625" style="6" bestFit="1" customWidth="1"/>
    <col min="3" max="3" width="14.5703125" style="6" bestFit="1" customWidth="1"/>
    <col min="4" max="4" width="14" style="6" bestFit="1" customWidth="1"/>
    <col min="5" max="6" width="21.140625" style="6" bestFit="1" customWidth="1"/>
    <col min="7" max="7" width="16.5703125" style="6" bestFit="1" customWidth="1"/>
    <col min="8" max="8" width="14.28515625" style="6" bestFit="1" customWidth="1"/>
    <col min="9" max="9" width="17.7109375" style="6" bestFit="1" customWidth="1"/>
    <col min="10" max="10" width="15.7109375" style="6" bestFit="1" customWidth="1"/>
    <col min="11" max="11" width="18.140625" style="6" bestFit="1" customWidth="1"/>
    <col min="12" max="12" width="10.85546875" style="6" bestFit="1" customWidth="1"/>
    <col min="13" max="16384" width="21.85546875" style="6"/>
  </cols>
  <sheetData>
    <row r="1" spans="1:12" x14ac:dyDescent="0.25">
      <c r="A1" s="7" t="s">
        <v>685</v>
      </c>
      <c r="B1" s="7" t="s">
        <v>20</v>
      </c>
      <c r="C1" s="7" t="s">
        <v>686</v>
      </c>
      <c r="D1" s="7" t="s">
        <v>22</v>
      </c>
      <c r="E1" s="7" t="s">
        <v>862</v>
      </c>
      <c r="F1" s="7" t="s">
        <v>832</v>
      </c>
      <c r="G1" s="7" t="s">
        <v>833</v>
      </c>
      <c r="H1" s="7" t="s">
        <v>695</v>
      </c>
      <c r="I1" s="7" t="s">
        <v>834</v>
      </c>
      <c r="J1" s="7" t="s">
        <v>835</v>
      </c>
      <c r="K1" s="7" t="s">
        <v>687</v>
      </c>
      <c r="L1" s="7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215D-776E-429E-9671-73D50575D04B}">
  <sheetPr codeName="Folha7"/>
  <dimension ref="A1:N31"/>
  <sheetViews>
    <sheetView topLeftCell="A5" workbookViewId="0">
      <selection activeCell="L31" sqref="L31"/>
    </sheetView>
  </sheetViews>
  <sheetFormatPr defaultColWidth="20.85546875" defaultRowHeight="12" x14ac:dyDescent="0.2"/>
  <cols>
    <col min="1" max="1" width="8" style="11" customWidth="1"/>
    <col min="2" max="8" width="9.140625" style="11" customWidth="1"/>
    <col min="9" max="9" width="11.7109375" style="11" customWidth="1"/>
    <col min="10" max="11" width="7.42578125" style="11" customWidth="1"/>
    <col min="12" max="12" width="10.85546875" style="11" customWidth="1"/>
    <col min="13" max="13" width="14.42578125" style="11" customWidth="1"/>
    <col min="14" max="14" width="17.140625" style="11" customWidth="1"/>
    <col min="15" max="16384" width="20.85546875" style="11"/>
  </cols>
  <sheetData>
    <row r="1" spans="1:14" ht="21" x14ac:dyDescent="0.2">
      <c r="A1" s="79" t="s">
        <v>765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10"/>
      <c r="N1" s="10"/>
    </row>
    <row r="2" spans="1:14" ht="12.75" x14ac:dyDescent="0.2">
      <c r="A2" s="31"/>
      <c r="B2" s="31"/>
      <c r="C2" s="31"/>
      <c r="D2" s="31"/>
      <c r="E2" s="84" t="s">
        <v>766</v>
      </c>
      <c r="F2" s="84"/>
      <c r="G2" s="31"/>
      <c r="H2" s="31"/>
      <c r="I2" s="31"/>
      <c r="J2" s="31"/>
      <c r="K2" s="31"/>
      <c r="L2" s="31"/>
    </row>
    <row r="3" spans="1:14" ht="15" x14ac:dyDescent="0.25">
      <c r="A3" s="28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</row>
    <row r="4" spans="1:14" ht="15" x14ac:dyDescent="0.25">
      <c r="A4" s="30" t="s">
        <v>788</v>
      </c>
      <c r="B4" s="29"/>
      <c r="F4" s="17"/>
      <c r="G4" s="17"/>
      <c r="H4" s="21"/>
      <c r="I4" s="27" t="s">
        <v>789</v>
      </c>
      <c r="J4" s="85" t="s">
        <v>767</v>
      </c>
      <c r="K4" s="85"/>
      <c r="L4" s="85"/>
    </row>
    <row r="5" spans="1:14" ht="15" x14ac:dyDescent="0.25">
      <c r="A5" s="30" t="s">
        <v>790</v>
      </c>
      <c r="B5" s="18"/>
      <c r="C5" s="17"/>
      <c r="D5" s="86"/>
      <c r="E5" s="86"/>
      <c r="F5" s="86"/>
      <c r="G5" s="22"/>
      <c r="H5" s="19"/>
      <c r="I5" s="20"/>
      <c r="J5" s="17"/>
      <c r="K5" s="17"/>
      <c r="L5" s="18"/>
    </row>
    <row r="6" spans="1:14" ht="15" x14ac:dyDescent="0.25">
      <c r="A6" s="30"/>
      <c r="B6" s="17"/>
      <c r="C6" s="17"/>
      <c r="D6" s="17"/>
      <c r="E6" s="17"/>
      <c r="F6" s="17"/>
      <c r="G6" s="17"/>
      <c r="H6" s="19"/>
      <c r="I6" s="20"/>
      <c r="J6" s="17"/>
      <c r="K6" s="17"/>
      <c r="L6" s="18"/>
    </row>
    <row r="7" spans="1:14" x14ac:dyDescent="0.2">
      <c r="A7" s="32"/>
      <c r="B7" s="32"/>
      <c r="C7" s="32"/>
      <c r="D7" s="32"/>
      <c r="E7" s="33" t="s">
        <v>768</v>
      </c>
      <c r="F7" s="32"/>
      <c r="G7" s="32"/>
      <c r="H7" s="34"/>
      <c r="I7" s="35"/>
      <c r="J7" s="35"/>
      <c r="K7" s="35"/>
      <c r="L7" s="32"/>
    </row>
    <row r="8" spans="1:14" ht="15" x14ac:dyDescent="0.25">
      <c r="A8" s="18"/>
      <c r="B8" s="17"/>
      <c r="C8" s="17"/>
      <c r="D8" s="17"/>
      <c r="E8" s="17"/>
      <c r="F8" s="17"/>
      <c r="G8" s="17"/>
      <c r="H8" s="19"/>
      <c r="I8" s="20"/>
      <c r="J8" s="17"/>
      <c r="K8" s="17"/>
      <c r="L8" s="18"/>
    </row>
    <row r="9" spans="1:14" ht="15" x14ac:dyDescent="0.25">
      <c r="A9" s="28" t="s">
        <v>769</v>
      </c>
      <c r="B9" s="17"/>
      <c r="C9" s="17"/>
      <c r="D9" s="17"/>
      <c r="E9" s="17"/>
      <c r="F9" s="17"/>
      <c r="G9" s="17"/>
      <c r="H9" s="19"/>
      <c r="I9" s="20"/>
      <c r="J9" s="17"/>
      <c r="K9" s="17"/>
      <c r="L9" s="18"/>
    </row>
    <row r="10" spans="1:14" ht="15" x14ac:dyDescent="0.25">
      <c r="A10" s="18" t="s">
        <v>770</v>
      </c>
      <c r="B10" s="17"/>
      <c r="C10" s="17"/>
      <c r="D10" s="17"/>
      <c r="E10" s="17"/>
      <c r="F10" s="17"/>
      <c r="G10" s="17"/>
      <c r="H10" s="19"/>
      <c r="I10" s="20"/>
      <c r="J10" s="17"/>
      <c r="K10" s="17"/>
      <c r="L10" s="18"/>
    </row>
    <row r="11" spans="1:14" ht="15" x14ac:dyDescent="0.25">
      <c r="A11" s="18" t="s">
        <v>771</v>
      </c>
      <c r="B11" s="17"/>
      <c r="C11" s="17"/>
      <c r="D11" s="17"/>
      <c r="E11" s="17"/>
      <c r="F11" s="17"/>
      <c r="G11" s="17"/>
      <c r="H11" s="19"/>
      <c r="I11" s="20"/>
      <c r="J11" s="17"/>
      <c r="K11" s="17"/>
      <c r="L11" s="18"/>
    </row>
    <row r="12" spans="1:14" ht="6" customHeight="1" x14ac:dyDescent="0.25">
      <c r="A12" s="18"/>
      <c r="B12" s="17"/>
      <c r="C12" s="17"/>
      <c r="D12" s="17"/>
      <c r="E12" s="17"/>
      <c r="F12" s="17"/>
      <c r="G12" s="17"/>
      <c r="H12" s="19"/>
      <c r="I12" s="20"/>
      <c r="J12" s="17"/>
      <c r="K12" s="17"/>
      <c r="L12" s="18"/>
    </row>
    <row r="13" spans="1:14" ht="15" x14ac:dyDescent="0.25">
      <c r="A13" s="28" t="s">
        <v>772</v>
      </c>
      <c r="B13" s="17"/>
      <c r="C13" s="17"/>
      <c r="D13" s="17"/>
      <c r="E13" s="17"/>
      <c r="F13" s="17"/>
      <c r="G13" s="17"/>
      <c r="H13" s="19"/>
      <c r="I13" s="20"/>
      <c r="J13" s="17"/>
      <c r="K13" s="17"/>
      <c r="L13" s="18"/>
    </row>
    <row r="14" spans="1:14" ht="6" customHeight="1" x14ac:dyDescent="0.25">
      <c r="A14" s="18"/>
      <c r="B14" s="17"/>
      <c r="C14" s="17"/>
      <c r="D14" s="17"/>
      <c r="E14" s="17"/>
      <c r="F14" s="17"/>
      <c r="G14" s="17"/>
      <c r="H14" s="19"/>
      <c r="I14" s="20"/>
      <c r="J14" s="17"/>
      <c r="K14" s="17"/>
      <c r="L14" s="18"/>
    </row>
    <row r="15" spans="1:14" ht="15" x14ac:dyDescent="0.25">
      <c r="A15" s="28" t="s">
        <v>773</v>
      </c>
      <c r="B15" s="17"/>
      <c r="C15" s="17"/>
      <c r="D15" s="17"/>
      <c r="E15" s="17"/>
      <c r="F15" s="17"/>
      <c r="G15" s="17"/>
      <c r="H15" s="19"/>
      <c r="I15" s="20"/>
      <c r="J15" s="17"/>
      <c r="K15" s="17"/>
      <c r="L15" s="18"/>
    </row>
    <row r="16" spans="1:14" ht="15" x14ac:dyDescent="0.25">
      <c r="A16" s="18" t="s">
        <v>774</v>
      </c>
      <c r="B16" s="17"/>
      <c r="C16" s="17"/>
      <c r="D16" s="17"/>
      <c r="E16" s="17"/>
      <c r="F16" s="17"/>
      <c r="G16" s="17"/>
      <c r="H16" s="19"/>
      <c r="I16" s="20"/>
      <c r="J16" s="17"/>
      <c r="K16" s="17"/>
      <c r="L16" s="18"/>
    </row>
    <row r="17" spans="1:12" ht="15" x14ac:dyDescent="0.25">
      <c r="A17" s="18" t="s">
        <v>775</v>
      </c>
      <c r="B17" s="17"/>
      <c r="C17" s="17"/>
      <c r="D17" s="17"/>
      <c r="E17" s="17"/>
      <c r="F17" s="17"/>
      <c r="G17" s="17"/>
      <c r="H17" s="19"/>
      <c r="I17" s="20"/>
      <c r="J17" s="17"/>
      <c r="K17" s="17"/>
      <c r="L17" s="18"/>
    </row>
    <row r="18" spans="1:12" ht="6" customHeight="1" x14ac:dyDescent="0.25">
      <c r="A18" s="18"/>
      <c r="B18" s="17"/>
      <c r="C18" s="17"/>
      <c r="D18" s="17"/>
      <c r="E18" s="17"/>
      <c r="F18" s="17"/>
      <c r="G18" s="17"/>
      <c r="H18" s="19"/>
      <c r="I18" s="20"/>
      <c r="J18" s="17"/>
      <c r="K18" s="17"/>
      <c r="L18" s="18"/>
    </row>
    <row r="19" spans="1:12" ht="15" x14ac:dyDescent="0.25">
      <c r="A19" s="28" t="s">
        <v>776</v>
      </c>
      <c r="B19" s="17"/>
      <c r="C19" s="17"/>
      <c r="D19" s="17"/>
      <c r="E19" s="17"/>
      <c r="F19" s="17"/>
      <c r="G19" s="17"/>
      <c r="H19" s="19"/>
      <c r="I19" s="20"/>
      <c r="J19" s="17"/>
      <c r="K19" s="17"/>
      <c r="L19" s="18"/>
    </row>
    <row r="20" spans="1:12" ht="15" x14ac:dyDescent="0.25">
      <c r="A20" s="18" t="s">
        <v>777</v>
      </c>
      <c r="B20" s="17"/>
      <c r="C20" s="17"/>
      <c r="D20" s="17"/>
      <c r="E20" s="17"/>
      <c r="F20" s="17"/>
      <c r="G20" s="17"/>
      <c r="H20" s="19"/>
      <c r="I20" s="20"/>
      <c r="J20" s="17"/>
      <c r="K20" s="17"/>
      <c r="L20" s="18"/>
    </row>
    <row r="21" spans="1:12" ht="15" x14ac:dyDescent="0.25">
      <c r="A21" s="18" t="s">
        <v>778</v>
      </c>
      <c r="B21" s="17"/>
      <c r="C21" s="17"/>
      <c r="D21" s="17"/>
      <c r="E21" s="17"/>
      <c r="F21" s="17"/>
      <c r="G21" s="17"/>
      <c r="H21" s="19"/>
      <c r="I21" s="20"/>
      <c r="J21" s="17"/>
      <c r="K21" s="17"/>
      <c r="L21" s="18"/>
    </row>
    <row r="22" spans="1:12" ht="6" customHeight="1" x14ac:dyDescent="0.25">
      <c r="A22" s="18"/>
      <c r="B22" s="17"/>
      <c r="C22" s="17"/>
      <c r="D22" s="17"/>
      <c r="E22" s="17"/>
      <c r="F22" s="17"/>
      <c r="G22" s="17"/>
      <c r="H22" s="19"/>
      <c r="I22" s="20"/>
      <c r="J22" s="17"/>
      <c r="K22" s="17"/>
      <c r="L22" s="18"/>
    </row>
    <row r="23" spans="1:12" ht="15" x14ac:dyDescent="0.25">
      <c r="A23" s="28" t="s">
        <v>779</v>
      </c>
      <c r="B23" s="17"/>
      <c r="C23" s="17"/>
      <c r="D23" s="17"/>
      <c r="E23" s="17"/>
      <c r="F23" s="17"/>
      <c r="G23" s="17"/>
      <c r="H23" s="19"/>
      <c r="I23" s="20"/>
      <c r="J23" s="17"/>
      <c r="K23" s="17"/>
      <c r="L23" s="18"/>
    </row>
    <row r="24" spans="1:12" ht="15" x14ac:dyDescent="0.25">
      <c r="A24" s="18" t="s">
        <v>780</v>
      </c>
      <c r="B24" s="17"/>
      <c r="C24" s="17"/>
      <c r="D24" s="17"/>
      <c r="E24" s="17"/>
      <c r="F24" s="17"/>
      <c r="G24" s="17"/>
      <c r="H24" s="19"/>
      <c r="I24" s="20"/>
      <c r="J24" s="17"/>
      <c r="K24" s="17"/>
      <c r="L24" s="18"/>
    </row>
    <row r="25" spans="1:12" ht="6" customHeight="1" x14ac:dyDescent="0.25">
      <c r="A25" s="18"/>
      <c r="B25" s="17"/>
      <c r="C25" s="17"/>
      <c r="D25" s="17"/>
      <c r="E25" s="17"/>
      <c r="F25" s="17"/>
      <c r="G25" s="17"/>
      <c r="H25" s="19"/>
      <c r="I25" s="20"/>
      <c r="J25" s="17"/>
      <c r="K25" s="17"/>
      <c r="L25" s="18"/>
    </row>
    <row r="26" spans="1:12" ht="15" x14ac:dyDescent="0.25">
      <c r="A26" s="28" t="s">
        <v>781</v>
      </c>
      <c r="B26" s="17"/>
      <c r="C26" s="17"/>
      <c r="D26" s="17"/>
      <c r="E26" s="17"/>
      <c r="F26" s="17"/>
      <c r="G26" s="17"/>
      <c r="H26" s="19"/>
      <c r="I26" s="20"/>
      <c r="J26" s="17"/>
      <c r="K26" s="17"/>
      <c r="L26" s="18"/>
    </row>
    <row r="27" spans="1:12" ht="15" x14ac:dyDescent="0.25">
      <c r="A27" s="18"/>
      <c r="B27" s="17"/>
      <c r="C27" s="17"/>
      <c r="D27" s="17"/>
      <c r="E27" s="17"/>
      <c r="F27" s="17"/>
      <c r="G27" s="17"/>
      <c r="H27" s="19"/>
      <c r="I27" s="20"/>
      <c r="J27" s="17"/>
      <c r="K27" s="17"/>
      <c r="L27" s="18"/>
    </row>
    <row r="28" spans="1:12" x14ac:dyDescent="0.2">
      <c r="A28" s="82" t="s">
        <v>782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</row>
    <row r="29" spans="1:12" x14ac:dyDescent="0.2">
      <c r="A29" s="23" t="s">
        <v>783</v>
      </c>
      <c r="B29" s="80" t="s">
        <v>784</v>
      </c>
      <c r="C29" s="80"/>
      <c r="D29" s="80"/>
      <c r="E29" s="80"/>
      <c r="F29" s="80"/>
      <c r="G29" s="80"/>
      <c r="H29" s="80"/>
      <c r="I29" s="24" t="s">
        <v>785</v>
      </c>
      <c r="J29" s="81" t="s">
        <v>786</v>
      </c>
      <c r="K29" s="81"/>
      <c r="L29" s="23" t="s">
        <v>787</v>
      </c>
    </row>
    <row r="30" spans="1:12" x14ac:dyDescent="0.2">
      <c r="A30" s="25"/>
      <c r="B30" s="83"/>
      <c r="C30" s="83"/>
      <c r="D30" s="83"/>
      <c r="E30" s="83"/>
      <c r="F30" s="83"/>
      <c r="G30" s="83"/>
      <c r="H30" s="83"/>
      <c r="I30" s="26"/>
      <c r="J30" s="83"/>
      <c r="K30" s="83"/>
      <c r="L30" s="25"/>
    </row>
    <row r="31" spans="1:12" x14ac:dyDescent="0.2">
      <c r="J31" s="78"/>
      <c r="K31" s="78"/>
    </row>
  </sheetData>
  <mergeCells count="10">
    <mergeCell ref="J31:K31"/>
    <mergeCell ref="A1:L1"/>
    <mergeCell ref="B29:H29"/>
    <mergeCell ref="J29:K29"/>
    <mergeCell ref="A28:L28"/>
    <mergeCell ref="B30:H30"/>
    <mergeCell ref="J30:K30"/>
    <mergeCell ref="E2:F2"/>
    <mergeCell ref="J4:L4"/>
    <mergeCell ref="D5:F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D6FC2-D349-458C-BC90-DDFFB35A3EF8}">
  <sheetPr codeName="Folha3"/>
  <dimension ref="A1:G10"/>
  <sheetViews>
    <sheetView workbookViewId="0">
      <selection activeCell="D1" sqref="D1:G2"/>
    </sheetView>
  </sheetViews>
  <sheetFormatPr defaultRowHeight="15" x14ac:dyDescent="0.25"/>
  <cols>
    <col min="1" max="1" width="14.7109375" style="49" bestFit="1" customWidth="1"/>
    <col min="4" max="4" width="20.140625" bestFit="1" customWidth="1"/>
    <col min="5" max="5" width="24.85546875" bestFit="1" customWidth="1"/>
    <col min="6" max="6" width="24.7109375" bestFit="1" customWidth="1"/>
    <col min="7" max="7" width="24.85546875" customWidth="1"/>
  </cols>
  <sheetData>
    <row r="1" spans="1:7" s="69" customFormat="1" x14ac:dyDescent="0.25">
      <c r="A1" s="67" t="s">
        <v>815</v>
      </c>
      <c r="B1" s="68" t="s">
        <v>816</v>
      </c>
      <c r="D1" s="69" t="s">
        <v>684</v>
      </c>
      <c r="E1" s="69" t="s">
        <v>28</v>
      </c>
      <c r="F1" s="69" t="s">
        <v>16</v>
      </c>
      <c r="G1" s="69" t="s">
        <v>17</v>
      </c>
    </row>
    <row r="2" spans="1:7" x14ac:dyDescent="0.25">
      <c r="A2" s="49" t="s">
        <v>828</v>
      </c>
      <c r="B2" s="12">
        <v>0.2</v>
      </c>
      <c r="D2" s="70" t="s">
        <v>794</v>
      </c>
      <c r="E2" s="70" t="s">
        <v>795</v>
      </c>
      <c r="F2" s="70" t="s">
        <v>693</v>
      </c>
      <c r="G2" s="70" t="s">
        <v>693</v>
      </c>
    </row>
    <row r="3" spans="1:7" x14ac:dyDescent="0.25">
      <c r="A3" s="49" t="s">
        <v>829</v>
      </c>
      <c r="B3" s="12">
        <v>0.3</v>
      </c>
      <c r="D3" s="70" t="s">
        <v>824</v>
      </c>
      <c r="E3" s="70" t="s">
        <v>791</v>
      </c>
      <c r="F3" s="70" t="s">
        <v>761</v>
      </c>
      <c r="G3" s="70" t="s">
        <v>761</v>
      </c>
    </row>
    <row r="4" spans="1:7" x14ac:dyDescent="0.25">
      <c r="A4" s="49" t="s">
        <v>830</v>
      </c>
      <c r="B4" s="12">
        <v>0.35</v>
      </c>
      <c r="D4" s="70"/>
      <c r="E4" s="70" t="s">
        <v>841</v>
      </c>
      <c r="F4" s="70" t="s">
        <v>30</v>
      </c>
      <c r="G4" s="70" t="s">
        <v>30</v>
      </c>
    </row>
    <row r="5" spans="1:7" x14ac:dyDescent="0.25">
      <c r="A5" s="49" t="s">
        <v>831</v>
      </c>
      <c r="B5" s="12">
        <v>0.4</v>
      </c>
      <c r="D5" s="70"/>
      <c r="E5" s="70" t="s">
        <v>797</v>
      </c>
      <c r="F5" s="70" t="s">
        <v>837</v>
      </c>
      <c r="G5" s="70" t="s">
        <v>837</v>
      </c>
    </row>
    <row r="6" spans="1:7" x14ac:dyDescent="0.25">
      <c r="A6" s="49" t="s">
        <v>696</v>
      </c>
      <c r="B6" s="12">
        <v>0.45</v>
      </c>
      <c r="D6" s="70"/>
      <c r="E6" s="70" t="s">
        <v>798</v>
      </c>
      <c r="F6" s="70" t="s">
        <v>842</v>
      </c>
      <c r="G6" s="70" t="s">
        <v>841</v>
      </c>
    </row>
    <row r="7" spans="1:7" x14ac:dyDescent="0.25">
      <c r="D7" s="70"/>
      <c r="E7" s="70" t="s">
        <v>836</v>
      </c>
      <c r="F7" s="70"/>
      <c r="G7" s="70" t="s">
        <v>843</v>
      </c>
    </row>
    <row r="8" spans="1:7" x14ac:dyDescent="0.25">
      <c r="D8" s="70"/>
      <c r="E8" s="70" t="s">
        <v>840</v>
      </c>
      <c r="F8" s="70"/>
      <c r="G8" s="70"/>
    </row>
    <row r="9" spans="1:7" x14ac:dyDescent="0.25">
      <c r="D9" s="70"/>
      <c r="E9" s="70" t="s">
        <v>839</v>
      </c>
      <c r="F9" s="70"/>
      <c r="G9" s="70"/>
    </row>
    <row r="10" spans="1:7" x14ac:dyDescent="0.25">
      <c r="D10" s="70"/>
      <c r="E10" s="70"/>
      <c r="F10" s="70"/>
      <c r="G10" s="7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A8ED4-1628-475A-97D5-0AAE44F5DF38}">
  <sheetPr codeName="Folha10"/>
  <dimension ref="A1:C4"/>
  <sheetViews>
    <sheetView workbookViewId="0">
      <selection activeCell="B5" sqref="B5"/>
    </sheetView>
  </sheetViews>
  <sheetFormatPr defaultRowHeight="15" x14ac:dyDescent="0.25"/>
  <cols>
    <col min="1" max="1" width="15.5703125" style="49" bestFit="1" customWidth="1"/>
    <col min="2" max="2" width="10.7109375" style="74" bestFit="1" customWidth="1"/>
    <col min="3" max="16384" width="9.140625" style="49"/>
  </cols>
  <sheetData>
    <row r="1" spans="1:3" x14ac:dyDescent="0.25">
      <c r="A1" s="67" t="s">
        <v>825</v>
      </c>
      <c r="B1" s="73" t="s">
        <v>844</v>
      </c>
      <c r="C1" s="67" t="s">
        <v>682</v>
      </c>
    </row>
    <row r="2" spans="1:3" x14ac:dyDescent="0.25">
      <c r="A2" s="49" t="s">
        <v>848</v>
      </c>
      <c r="B2" s="74">
        <v>900329</v>
      </c>
      <c r="C2" s="49" t="s">
        <v>682</v>
      </c>
    </row>
    <row r="3" spans="1:3" x14ac:dyDescent="0.25">
      <c r="A3" s="49" t="s">
        <v>847</v>
      </c>
      <c r="B3" s="74">
        <v>900329</v>
      </c>
      <c r="C3" s="49" t="s">
        <v>682</v>
      </c>
    </row>
    <row r="4" spans="1:3" x14ac:dyDescent="0.25">
      <c r="A4" s="49" t="s">
        <v>846</v>
      </c>
      <c r="B4" s="74" t="s">
        <v>849</v>
      </c>
      <c r="C4" s="49" t="s">
        <v>682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10</vt:i4>
      </vt:variant>
      <vt:variant>
        <vt:lpstr>Intervalos com Nome</vt:lpstr>
      </vt:variant>
      <vt:variant>
        <vt:i4>14</vt:i4>
      </vt:variant>
    </vt:vector>
  </HeadingPairs>
  <TitlesOfParts>
    <vt:vector size="24" baseType="lpstr">
      <vt:lpstr>PRODUTOS</vt:lpstr>
      <vt:lpstr>HISTORICO_CADASTRO_PRODUTOS</vt:lpstr>
      <vt:lpstr>MOVIMENTACAO_ESTOQUE</vt:lpstr>
      <vt:lpstr>REVENDAS</vt:lpstr>
      <vt:lpstr>ROMANEIOS_ITENS</vt:lpstr>
      <vt:lpstr>CONFERENCIA</vt:lpstr>
      <vt:lpstr>FINANCEIRO</vt:lpstr>
      <vt:lpstr>IMP_ROMANEIOS</vt:lpstr>
      <vt:lpstr>PARAMETROS</vt:lpstr>
      <vt:lpstr>USUARIOS</vt:lpstr>
      <vt:lpstr>cod_revenda</vt:lpstr>
      <vt:lpstr>COMISSÃO</vt:lpstr>
      <vt:lpstr>data</vt:lpstr>
      <vt:lpstr>DESTINO</vt:lpstr>
      <vt:lpstr>ID_ROMANEIO</vt:lpstr>
      <vt:lpstr>MOTIVO</vt:lpstr>
      <vt:lpstr>nome_revenda</vt:lpstr>
      <vt:lpstr>ORIGEM</vt:lpstr>
      <vt:lpstr>preco_venda_romaneio_itens</vt:lpstr>
      <vt:lpstr>qtd_romaneio_itens</vt:lpstr>
      <vt:lpstr>TIPO_DE_MOVIMENTO</vt:lpstr>
      <vt:lpstr>total_romaneios_itens</vt:lpstr>
      <vt:lpstr>USUARIO</vt:lpstr>
      <vt:lpstr>VALOR_DE_VENDA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Wilian Fausto</dc:creator>
  <cp:lastModifiedBy>Wilian Fausto</cp:lastModifiedBy>
  <dcterms:created xsi:type="dcterms:W3CDTF">2015-06-05T18:19:34Z</dcterms:created>
  <dcterms:modified xsi:type="dcterms:W3CDTF">2026-05-31T03:48:36Z</dcterms:modified>
</cp:coreProperties>
</file>